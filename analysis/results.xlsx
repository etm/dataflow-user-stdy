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imple" sheetId="1" state="visible" r:id="rId3"/>
    <sheet name="Medium" sheetId="2" state="visible" r:id="rId4"/>
    <sheet name="Complex" sheetId="3" state="visible" r:id="rId5"/>
    <sheet name="Experience" sheetId="4" state="visible" r:id="rId6"/>
    <sheet name="Correctness &amp; Duration" sheetId="5" state="visible" r:id="rId7"/>
    <sheet name="Usability" sheetId="6" state="visible" r:id="rId8"/>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<sst xmlns="http://schemas.openxmlformats.org/spreadsheetml/2006/main" count="12874" uniqueCount="882">
  <si>
    <t xml:space="preserve">017e2eb5-f076-4560-926c-2b59eed9b68f</t>
  </si>
  <si>
    <t xml:space="preserve">BPMN</t>
  </si>
  <si>
    <t xml:space="preserve">Confirm Coffee Preferences</t>
  </si>
  <si>
    <t xml:space="preserve">simple</t>
  </si>
  <si>
    <t xml:space="preserve">items,order</t>
  </si>
  <si>
    <t xml:space="preserve">true</t>
  </si>
  <si>
    <t xml:space="preserve">false</t>
  </si>
  <si>
    <t xml:space="preserve">order</t>
  </si>
  <si>
    <t xml:space="preserve">a1,a4,a7</t>
  </si>
  <si>
    <t xml:space="preserve">No</t>
  </si>
  <si>
    <t xml:space="preserve">CPEE</t>
  </si>
  <si>
    <t xml:space="preserve">Get Sun Data</t>
  </si>
  <si>
    <t xml:space="preserve">sunrise,sunset</t>
  </si>
  <si>
    <t xml:space="preserve">sunset</t>
  </si>
  <si>
    <t xml:space="preserve">a1,a2,a6</t>
  </si>
  <si>
    <t xml:space="preserve">Yes</t>
  </si>
  <si>
    <t xml:space="preserve">01f4a341-ea28-4399-a454-e817e931ace5</t>
  </si>
  <si>
    <t xml:space="preserve">date</t>
  </si>
  <si>
    <t xml:space="preserve">sunrise</t>
  </si>
  <si>
    <t xml:space="preserve">a2,a5,a6</t>
  </si>
  <si>
    <t xml:space="preserve">034b22f4-ef21-405b-9772-5d5b7027bb0d</t>
  </si>
  <si>
    <t xml:space="preserve">date,sunrise,sunset</t>
  </si>
  <si>
    <t xml:space="preserve">a2,a3,a5,a6</t>
  </si>
  <si>
    <t xml:space="preserve">042ea4d3-a008-41ac-97dd-19a7f5dddedd</t>
  </si>
  <si>
    <t xml:space="preserve">emails,items,order</t>
  </si>
  <si>
    <t xml:space="preserve">a1,a2,a4,a6,a7</t>
  </si>
  <si>
    <t xml:space="preserve">a1,a2,a3,a4,a5,a6,a7,a8,a9</t>
  </si>
  <si>
    <t xml:space="preserve">042fa867-804f-4712-a808-33c0a83be364</t>
  </si>
  <si>
    <t xml:space="preserve">emails,items,refill</t>
  </si>
  <si>
    <t xml:space="preserve">04529132-49e2-4be8-9e17-b2afda1d83b2</t>
  </si>
  <si>
    <t xml:space="preserve">hour,sunrise,sunset</t>
  </si>
  <si>
    <t xml:space="preserve">a1,a3,a5,a7</t>
  </si>
  <si>
    <t xml:space="preserve">Diagramm did not load</t>
  </si>
  <si>
    <t xml:space="preserve">08de56d6-e9d8-4280-9779-f5fea9727ec0</t>
  </si>
  <si>
    <t xml:space="preserve">a6,a7</t>
  </si>
  <si>
    <t xml:space="preserve">date,hour,sunrise,sunset</t>
  </si>
  <si>
    <t xml:space="preserve">0a0f4419-1682-47df-bf40-7214c90b09c0</t>
  </si>
  <si>
    <t xml:space="preserve">0c0a1744-da50-4b2a-a32e-bdbcb293c127</t>
  </si>
  <si>
    <t xml:space="preserve">0dcaa55e-38ae-428e-a1c1-b378cb31a99c</t>
  </si>
  <si>
    <t xml:space="preserve">emails,items,order,refill</t>
  </si>
  <si>
    <t xml:space="preserve">emails,refill</t>
  </si>
  <si>
    <t xml:space="preserve">0f0b0d0d-232b-4957-8db8-43cdb8f4c197</t>
  </si>
  <si>
    <t xml:space="preserve">No i don't </t>
  </si>
  <si>
    <t xml:space="preserve">11089388-175e-4194-972f-a9f835a1aad0</t>
  </si>
  <si>
    <t xml:space="preserve">a5,a6</t>
  </si>
  <si>
    <t xml:space="preserve">12ed4e88-2347-4683-a8f3-1b192ff38aa9</t>
  </si>
  <si>
    <t xml:space="preserve">items</t>
  </si>
  <si>
    <t xml:space="preserve">a1</t>
  </si>
  <si>
    <t xml:space="preserve">16d8b8fa-d529-4c81-986c-f92981d9b7cc</t>
  </si>
  <si>
    <t xml:space="preserve">I forgot which arrow represents writes and which reads.</t>
  </si>
  <si>
    <t xml:space="preserve">1765c273-7922-4e11-bd34-8935ee015fd5</t>
  </si>
  <si>
    <t xml:space="preserve">I cant be sure</t>
  </si>
  <si>
    <t xml:space="preserve">Nope</t>
  </si>
  <si>
    <t xml:space="preserve">18104a50-6d19-4dbd-9f6a-70e4f4bf52c4</t>
  </si>
  <si>
    <t xml:space="preserve">195cb5db-d09b-4876-9da8-d3f19b5851c8</t>
  </si>
  <si>
    <t xml:space="preserve">19f2e5f2-65b8-4cef-8a1c-399e4c41baaf</t>
  </si>
  <si>
    <t xml:space="preserve">hour</t>
  </si>
  <si>
    <t xml:space="preserve">1e8ee981-3bc2-497c-a7ef-7fba32865218</t>
  </si>
  <si>
    <t xml:space="preserve">1fb06626-ce2a-43ac-a3e9-adb886507041</t>
  </si>
  <si>
    <t xml:space="preserve">21d06c9a-e06b-4908-98bf-38035ad47b4f</t>
  </si>
  <si>
    <t xml:space="preserve">The small arrows and many bars, while effective for easier models, become more difficult to read quickly for people with less experience using CPEE BPMN. </t>
  </si>
  <si>
    <t xml:space="preserve">25358758-6f87-4398-b82c-122106e5fabd</t>
  </si>
  <si>
    <t xml:space="preserve">a1,a4,a6,a7</t>
  </si>
  <si>
    <t xml:space="preserve">Man musste erst drauf kommen, wie es funktioniert. Gerne Ã¶fters solche Ãbungen, die sind top!! Helfen einem super, das zu verstehen und macht echt SpaÃ.</t>
  </si>
  <si>
    <t xml:space="preserve">2658a615-10ed-4079-847c-130becd6377f</t>
  </si>
  <si>
    <t xml:space="preserve">a2</t>
  </si>
  <si>
    <t xml:space="preserve">Understanding the interconnections between read and write operations from a graphical standpoint.</t>
  </si>
  <si>
    <t xml:space="preserve">279d674a-b893-47f9-92ec-d162aa37f045</t>
  </si>
  <si>
    <t xml:space="preserve">It is not loading on safari
</t>
  </si>
  <si>
    <t xml:space="preserve">28bd6c19-f114-4eb1-b43f-ed5bbcd2a685</t>
  </si>
  <si>
    <t xml:space="preserve">a1,a2,a8</t>
  </si>
  <si>
    <t xml:space="preserve">a1,a6</t>
  </si>
  <si>
    <t xml:space="preserve">2bc2639c-b3e2-4386-b3e6-032c6a6092e0</t>
  </si>
  <si>
    <t xml:space="preserve">CEEP is more difficult to understand the diagramm as a hole but more easy to find specifics. </t>
  </si>
  <si>
    <t xml:space="preserve">2cd942ac-a421-4fd0-9ef5-29f230bbb996</t>
  </si>
  <si>
    <t xml:space="preserve">a4</t>
  </si>
  <si>
    <t xml:space="preserve">2ef4cfbb-c311-4acd-a615-9c3d2a1b21bb</t>
  </si>
  <si>
    <t xml:space="preserve">30e44ca2-097d-4b68-b090-6b57b525c3ae</t>
  </si>
  <si>
    <t xml:space="preserve">31dcf553-e3d2-4a55-b773-d524c37dd2a4</t>
  </si>
  <si>
    <t xml:space="preserve">32ed680e-7751-4fe6-b93b-d03ea58809ef</t>
  </si>
  <si>
    <t xml:space="preserve">38d25a54-c191-40b6-aa37-7dc785a46a50</t>
  </si>
  <si>
    <t xml:space="preserve">refill</t>
  </si>
  <si>
    <t xml:space="preserve">emails</t>
  </si>
  <si>
    <t xml:space="preserve">a7</t>
  </si>
  <si>
    <t xml:space="preserve">39a66cba-bbc6-4fd0-b8f5-5b2b6e4046f7</t>
  </si>
  <si>
    <t xml:space="preserve">39b10480-d4c8-4e1f-831f-bc4b0fcf3ff6</t>
  </si>
  <si>
    <t xml:space="preserve">3ba490ae-a764-44e3-9834-ae0472f1f4c6</t>
  </si>
  <si>
    <t xml:space="preserve">Im Grunde muss ich nur noch sicherer im Umgang mit beiden werden, auf das CPEE BPMN ist auf den ersten Blick unÃ¼bersichtlicher und erfordert minimal mehr grundverstÃ¤ndnis</t>
  </si>
  <si>
    <t xml:space="preserve">3f592c91-d28f-447f-bc9b-ead3b892754d</t>
  </si>
  <si>
    <t xml:space="preserve">40fc4049-2873-4051-827f-6a0413989c8c</t>
  </si>
  <si>
    <t xml:space="preserve">a2,a3</t>
  </si>
  <si>
    <t xml:space="preserve">419233e8-17be-460a-a46c-d0319ee260f7</t>
  </si>
  <si>
    <t xml:space="preserve">a1,a4</t>
  </si>
  <si>
    <t xml:space="preserve">Layout of CPEE BPMN</t>
  </si>
  <si>
    <t xml:space="preserve">4e624349-7010-4b12-883c-52ca95cfdfff</t>
  </si>
  <si>
    <t xml:space="preserve">Defining what "Part of a condition branch" means -&gt; inside the condition itself or just part of the branch from a yes or no...?</t>
  </si>
  <si>
    <t xml:space="preserve">4e8c2f3d-caaf-4bfd-a0dd-45768e71dec9</t>
  </si>
  <si>
    <t xml:space="preserve">a2,a5,a6,a7</t>
  </si>
  <si>
    <t xml:space="preserve">4f10fecf-2c76-44f8-86a1-1ff28dc62b2d</t>
  </si>
  <si>
    <t xml:space="preserve">5000d3e3-5475-4fc7-8473-323f91c33295</t>
  </si>
  <si>
    <t xml:space="preserve">angle,sunrise,sunset</t>
  </si>
  <si>
    <t xml:space="preserve">513f7b03-04c7-4caa-b44b-7c30f3369a68</t>
  </si>
  <si>
    <t xml:space="preserve">a2,a4</t>
  </si>
  <si>
    <t xml:space="preserve">51b5f138-3e0f-49bd-b557-27095397cd3f</t>
  </si>
  <si>
    <t xml:space="preserve">549e797c-e540-45e6-a934-1616a89ac263</t>
  </si>
  <si>
    <t xml:space="preserve">My browser did not load the CPEE BPMN. I lost time opening it in another browser. </t>
  </si>
  <si>
    <t xml:space="preserve">553a9ee1-e841-4393-9a4b-677bfc2b4edb</t>
  </si>
  <si>
    <t xml:space="preserve">55e8d636-d652-4f0c-be33-e68e78ceefcb</t>
  </si>
  <si>
    <t xml:space="preserve">55f263d3-e3b3-40dc-8308-06b8aae96e0d</t>
  </si>
  <si>
    <t xml:space="preserve">I did not fully understand CPEE BPMN, but I think if you get used to it, it is a lot easier to read</t>
  </si>
  <si>
    <t xml:space="preserve">569730b7-d99c-43b4-ad3d-7eab8239cb6a</t>
  </si>
  <si>
    <t xml:space="preserve">a5</t>
  </si>
  <si>
    <t xml:space="preserve">Bad explanation by Professor
</t>
  </si>
  <si>
    <t xml:space="preserve">57478f5b-7fd4-4e72-86b8-3fea9c4d48f3</t>
  </si>
  <si>
    <t xml:space="preserve">a2,a7</t>
  </si>
  <si>
    <t xml:space="preserve">Hovering takes extra effort to see the document labels. When there are too many files it will be really confusing going through all the icons searching for the required file.</t>
  </si>
  <si>
    <t xml:space="preserve">5851befa-3f09-4681-907a-34f4ae0580de</t>
  </si>
  <si>
    <t xml:space="preserve">I could not completely understand how we use the data on conditionals.</t>
  </si>
  <si>
    <t xml:space="preserve">5d46a41b-41cc-4647-850b-64f99ec59885</t>
  </si>
  <si>
    <t xml:space="preserve">angle</t>
  </si>
  <si>
    <t xml:space="preserve">5e567c54-d26b-4743-a872-9c80ec50cb2e</t>
  </si>
  <si>
    <t xml:space="preserve">6144c0a0-96c5-482a-9b5a-eb6ad03ef383</t>
  </si>
  <si>
    <t xml:space="preserve">a1,a2,a4,a7</t>
  </si>
  <si>
    <t xml:space="preserve">63b9a644-2168-4c42-a1e7-735de5b1bde3</t>
  </si>
  <si>
    <t xml:space="preserve">With traditional BPMN, it's little bit harder to look and understand the whole project. </t>
  </si>
  <si>
    <t xml:space="preserve">651f5946-2f0f-4470-856e-63d261a0d7ea</t>
  </si>
  <si>
    <t xml:space="preserve">I can not easily see the dataflow in traditional BPMN.</t>
  </si>
  <si>
    <t xml:space="preserve">678c5505-d912-4ea2-b317-129e641329d4</t>
  </si>
  <si>
    <t xml:space="preserve">6871eb0f-ede5-4917-b874-09975763ba66</t>
  </si>
  <si>
    <t xml:space="preserve">69620817-7e69-4529-a88a-b4cea9b9b675</t>
  </si>
  <si>
    <t xml:space="preserve">hour,sunrise</t>
  </si>
  <si>
    <t xml:space="preserve">6f003f1e-2d9f-4a97-a8d9-ca71b3a9953e</t>
  </si>
  <si>
    <t xml:space="preserve">items,order,refill</t>
  </si>
  <si>
    <t xml:space="preserve">order,refill</t>
  </si>
  <si>
    <t xml:space="preserve">73da7af1-f520-47e8-974d-04faa9db37fb</t>
  </si>
  <si>
    <t xml:space="preserve">767cc3b1-2704-4282-a808-5e7b18a226fd</t>
  </si>
  <si>
    <t xml:space="preserve">a2,a3,a5,a6,a9</t>
  </si>
  <si>
    <t xml:space="preserve">76a98693-1332-437a-af8d-5c4f746dc7b9</t>
  </si>
  <si>
    <t xml:space="preserve">The CPEE BPMN seemed less intuitive because there were more visualizations.</t>
  </si>
  <si>
    <t xml:space="preserve">77b92ad3-7a90-4937-b580-0dc1695e1419</t>
  </si>
  <si>
    <t xml:space="preserve">77df84b8-3178-455c-a8a6-1b040c7d06a2</t>
  </si>
  <si>
    <t xml:space="preserve">7f9e174e-6084-4030-a5b3-3d955afc7730</t>
  </si>
  <si>
    <t xml:space="preserve">8047899e-4a7d-4225-9ea0-955d0c22337b</t>
  </si>
  <si>
    <t xml:space="preserve">81ecbdd8-3302-465e-bcc8-21dc757d57fc</t>
  </si>
  <si>
    <t xml:space="preserve">82693196-173a-409d-bbf4-b5114304e8b9</t>
  </si>
  <si>
    <t xml:space="preserve">83c3f69c-4252-4d6e-8d06-0c8af5bf0b75</t>
  </si>
  <si>
    <t xml:space="preserve">865d4f79-922f-4633-87bd-688979fc2177</t>
  </si>
  <si>
    <t xml:space="preserve">date,hour</t>
  </si>
  <si>
    <t xml:space="preserve">8a0f8c82-0511-4477-b03c-258cfa3a87c9</t>
  </si>
  <si>
    <t xml:space="preserve">Wasn't sure for BPMN what is ment with "is email used in a decision tree" because its read from both decisions to send an email or to not send an email</t>
  </si>
  <si>
    <t xml:space="preserve">8a3e3060-0973-4261-a622-24e80304da85</t>
  </si>
  <si>
    <t xml:space="preserve">a4,a6</t>
  </si>
  <si>
    <t xml:space="preserve">8b7ad2f7-353e-43de-8c39-5348151f35cb</t>
  </si>
  <si>
    <t xml:space="preserve">8dc7b89c-5fff-43cc-ae7a-f69e4aebf5c6</t>
  </si>
  <si>
    <t xml:space="preserve">CPEE BPMN is way better for visualizing the lifetimes and flow of data, but it makes the flow a bit less clear.</t>
  </si>
  <si>
    <t xml:space="preserve">8de6a114-bd88-4a65-b759-6af6886f088f</t>
  </si>
  <si>
    <t xml:space="preserve">the first one was more easy to comprehend cause its drwan and shown</t>
  </si>
  <si>
    <t xml:space="preserve">942451ac-790d-41b1-89dd-9db2c568cb56</t>
  </si>
  <si>
    <t xml:space="preserve">a3,a5,a6,a7</t>
  </si>
  <si>
    <t xml:space="preserve">96ca111b-e3c0-49ef-9a20-0dbdad3179bd</t>
  </si>
  <si>
    <t xml:space="preserve">9904f577-7b8b-49f3-b159-7ebc38b435eb</t>
  </si>
  <si>
    <t xml:space="preserve">i am not sure if i do it correctlyï¼because a same problem seems to have lots of background. I don not how to deal with the background.</t>
  </si>
  <si>
    <t xml:space="preserve">9a9ba470-2ca5-4529-87db-a71fa468c89c</t>
  </si>
  <si>
    <t xml:space="preserve">9aa12dd8-e97d-41b2-8830-d5feaea4b466</t>
  </si>
  <si>
    <t xml:space="preserve">9bd9415e-d726-4532-94ca-6726ad0f1054</t>
  </si>
  <si>
    <t xml:space="preserve">9c9c12c6-2e83-4a0c-8104-bb4fe03f5f55</t>
  </si>
  <si>
    <t xml:space="preserve">I cannot tell whether they are in conditional loops</t>
  </si>
  <si>
    <t xml:space="preserve">9d584f52-4a33-4a4d-bf16-3e5294169f87</t>
  </si>
  <si>
    <t xml:space="preserve">tracing long arrows in traditional BPMN can lead to accidentally switching arrows</t>
  </si>
  <si>
    <t xml:space="preserve">a14a2337-a5d2-4713-b3ff-57f2aa6f4481</t>
  </si>
  <si>
    <t xml:space="preserve">Traditional is harder to read (you need to follow each arrow)</t>
  </si>
  <si>
    <t xml:space="preserve">a399e79a-dce4-4bec-b61a-a7c1a5fca590</t>
  </si>
  <si>
    <t xml:space="preserve">a42258aa-4570-4aec-b998-ff5a7d247efc</t>
  </si>
  <si>
    <t xml:space="preserve">a5e3630d-60af-47be-b644-395d846a9746</t>
  </si>
  <si>
    <t xml:space="preserve">Rendering on the screen was way to small</t>
  </si>
  <si>
    <t xml:space="preserve">a6103e09-3c7f-4479-8587-edeb66d1fd95</t>
  </si>
  <si>
    <t xml:space="preserve">a784e692-0f91-4658-80bd-b1a2468cd05e</t>
  </si>
  <si>
    <t xml:space="preserve">a9b4f52a-c001-4480-b1b9-b45bfa2ee731</t>
  </si>
  <si>
    <t xml:space="preserve">a9e4e097-56eb-48f5-b2bc-77467a5d5c35</t>
  </si>
  <si>
    <t xml:space="preserve">BPMN: nicht so Ã¼bersichtlich.
CPEE BPMN: VerstÃ¤ndnis der Verbindungen.</t>
  </si>
  <si>
    <t xml:space="preserve">ab318d4d-1c9c-44ed-afb7-583f109b4caa</t>
  </si>
  <si>
    <t xml:space="preserve">a1,a7</t>
  </si>
  <si>
    <t xml:space="preserve">abc38b1f-f10d-4f00-a46d-37209a8ffdf8</t>
  </si>
  <si>
    <t xml:space="preserve">ad1e757d-e5ca-462c-bc02-1b413c060253</t>
  </si>
  <si>
    <t xml:space="preserve">forgot which arrow was for read and which for write (cpee bpmn)</t>
  </si>
  <si>
    <t xml:space="preserve">ae401590-5a59-46e9-9ddc-b807a18e6b7d</t>
  </si>
  <si>
    <t xml:space="preserve">af19c26f-2283-4e27-89b4-ed43cd579899</t>
  </si>
  <si>
    <t xml:space="preserve">af9090d4-430e-4ad3-9cd7-aa6491e75784</t>
  </si>
  <si>
    <t xml:space="preserve">b021c465-ded9-4be5-a4be-98034e7efe76</t>
  </si>
  <si>
    <t xml:space="preserve">b67ef1df-783a-46e6-bd6f-f164a35a9f65</t>
  </si>
  <si>
    <t xml:space="preserve">The dicision loops are kinda a little bit more sophisticated as for CPEE BPMN 
</t>
  </si>
  <si>
    <t xml:space="preserve">b8308bb8-a4e8-4d3c-9b9a-fd087fb6f5fa</t>
  </si>
  <si>
    <t xml:space="preserve">CPEE BPMN was a lot harder to read. The arrows and stuff in the traditional help make it more easily readable.</t>
  </si>
  <si>
    <t xml:space="preserve">bc3adf14-3002-4a48-b456-b24701b7a497</t>
  </si>
  <si>
    <t xml:space="preserve">angle,date,sunrise,sunset</t>
  </si>
  <si>
    <t xml:space="preserve">bdafc762-8cdb-4720-9928-876d0e3e0009</t>
  </si>
  <si>
    <t xml:space="preserve">be3bd3f1-7cf5-4354-b7d6-70aa0df1424a</t>
  </si>
  <si>
    <t xml:space="preserve">Less familiar with CPEE, but should be more efficient in the long run</t>
  </si>
  <si>
    <t xml:space="preserve">bec79a42-b535-457e-9bbf-5525e5d0b81a</t>
  </si>
  <si>
    <t xml:space="preserve">bece29d3-9f41-4c53-9609-3e1e9c73cecf</t>
  </si>
  <si>
    <t xml:space="preserve">bf7d9bfd-ca37-4b1b-87f5-c69be920edcd</t>
  </si>
  <si>
    <t xml:space="preserve">Only thing which wasnt a100% clear was when a data object was part of decision making, although that quickly solved itself. the rest was quite easy to understand, it just took a minute to get used to CPEE BPMN.</t>
  </si>
  <si>
    <t xml:space="preserve">c5914a3a-1837-409d-881c-c0b605341c5f</t>
  </si>
  <si>
    <t xml:space="preserve">c8c0a075-a348-4031-be97-87a3d0dd5506</t>
  </si>
  <si>
    <t xml:space="preserve">c8d304d8-8e57-4a77-b381-cfc00f1ac9ac</t>
  </si>
  <si>
    <t xml:space="preserve">a2,a3,a5,a6,a7</t>
  </si>
  <si>
    <t xml:space="preserve">ca72f635-36c5-45f4-ab46-cb6b73911b55</t>
  </si>
  <si>
    <t xml:space="preserve">a3,a4</t>
  </si>
  <si>
    <t xml:space="preserve">The second one did not show up in safari and did not show all the information without hooverin</t>
  </si>
  <si>
    <t xml:space="preserve">cabf0b72-53a0-4bb8-a817-08ff879a5537</t>
  </si>
  <si>
    <t xml:space="preserve">Since CPEE BPMN is a more compact and easy (since its more interactive) way of representing a process, I'm more familir with the traditional BPMN </t>
  </si>
  <si>
    <t xml:space="preserve">cb133fee-aa9c-4814-b94e-34cd62b82bb5</t>
  </si>
  <si>
    <t xml:space="preserve">emails,items</t>
  </si>
  <si>
    <t xml:space="preserve">cd3d1b05-4f26-4a37-b4ee-0494c5db7880</t>
  </si>
  <si>
    <t xml:space="preserve">ce115e7a-516a-4e4b-b0fc-e0b30e19cead</t>
  </si>
  <si>
    <t xml:space="preserve">With CPEE BPMN,it is not so obvious whether a data object is involved in decision</t>
  </si>
  <si>
    <t xml:space="preserve">ce847a5a-133b-4eee-ac7d-fe008c2dc753</t>
  </si>
  <si>
    <t xml:space="preserve">d1509f41-7d30-42ea-90f2-35798b3cdcad</t>
  </si>
  <si>
    <t xml:space="preserve">d55c03a1-4a2a-45e2-8ed7-03fb30314bdb</t>
  </si>
  <si>
    <t xml:space="preserve">d753934c-e5f0-4aeb-a3f8-0ba0f84b5656</t>
  </si>
  <si>
    <t xml:space="preserve">d75ed823-9d80-49e0-b106-bbe828eab112</t>
  </si>
  <si>
    <t xml:space="preserve">da4addea-d24f-4227-ae20-db8d906956be</t>
  </si>
  <si>
    <t xml:space="preserve">Whether or not the data objects are parts of loops/conditions</t>
  </si>
  <si>
    <t xml:space="preserve">dbbfdc27-04e6-48fb-bdc7-234e1ce7f555</t>
  </si>
  <si>
    <t xml:space="preserve">a1,a2</t>
  </si>
  <si>
    <t xml:space="preserve">dc503f56-4ead-4e38-a80c-f20d60e9f3ac</t>
  </si>
  <si>
    <t xml:space="preserve">e062b93b-729b-4fb7-a306-e1a5196185d4</t>
  </si>
  <si>
    <t xml:space="preserve">e1dba9e6-1750-4973-90ca-b1143f3f891f</t>
  </si>
  <si>
    <t xml:space="preserve">e1dbb56d-138b-4c49-9c8f-c97d004b2b91</t>
  </si>
  <si>
    <t xml:space="preserve">a1,a3,a5,a7,a9</t>
  </si>
  <si>
    <t xml:space="preserve">e25557bb-c0ea-45c4-8820-5dff13037b12</t>
  </si>
  <si>
    <t xml:space="preserve">Relatevely new interfsce in CPEE BPMN and using lines for task description wasn't the most convenient layout for me</t>
  </si>
  <si>
    <t xml:space="preserve">e3318ed9-f682-4e0f-89ed-bae05daf7489</t>
  </si>
  <si>
    <t xml:space="preserve">Couldnât see the second diagram </t>
  </si>
  <si>
    <t xml:space="preserve">e7301475-811b-471d-8e7a-b4d3b999bfb3</t>
  </si>
  <si>
    <t xml:space="preserve">e7317896-be7e-4e68-ae0d-79f3fda9fd93</t>
  </si>
  <si>
    <t xml:space="preserve">e92cf3af-9465-45db-8b2e-1b66e2a1a27a</t>
  </si>
  <si>
    <t xml:space="preserve">e9b565dd-db4b-4fb3-9222-751b45286bca</t>
  </si>
  <si>
    <t xml:space="preserve">second one didn't load</t>
  </si>
  <si>
    <t xml:space="preserve">ef67eb3c-4247-4190-a140-1365a0ae22de</t>
  </si>
  <si>
    <t xml:space="preserve">date,sunset</t>
  </si>
  <si>
    <t xml:space="preserve">good</t>
  </si>
  <si>
    <t xml:space="preserve">f03bb0e4-6863-4d6d-a066-14c33396c7e8</t>
  </si>
  <si>
    <t xml:space="preserve">f1e1c1cc-cf59-461e-ae83-0cca00942401</t>
  </si>
  <si>
    <t xml:space="preserve">f39f057c-372d-4da2-875d-cf038ce79c0b</t>
  </si>
  <si>
    <t xml:space="preserve">f3aaadc6-2e1f-48e7-9588-dc5d3bf93b03</t>
  </si>
  <si>
    <t xml:space="preserve">f419d549-6d26-4ce2-a0f6-14e47706fc55</t>
  </si>
  <si>
    <t xml:space="preserve">identify condition statements, accessing the link through safari</t>
  </si>
  <si>
    <t xml:space="preserve">f45652fd-5b44-4bdf-82b3-395d8b92b7f3</t>
  </si>
  <si>
    <t xml:space="preserve">ff1a0c2d-6cc4-4dec-8f94-dc2ddd649d94</t>
  </si>
  <si>
    <t xml:space="preserve">ff43799f-e18c-49bc-b377-91f6bea703fe</t>
  </si>
  <si>
    <t xml:space="preserve">Havent gotten the hang of the second exercise yet</t>
  </si>
  <si>
    <t xml:space="preserve">0107564a-165b-4c30-8e9c-7411e4ce2f81</t>
  </si>
  <si>
    <t xml:space="preserve">Get Delays</t>
  </si>
  <si>
    <t xml:space="preserve">medium</t>
  </si>
  <si>
    <t xml:space="preserve">delay,line,lineID,stops</t>
  </si>
  <si>
    <t xml:space="preserve">delay</t>
  </si>
  <si>
    <t xml:space="preserve">a6,a8,a9</t>
  </si>
  <si>
    <t xml:space="preserve">Create Program</t>
  </si>
  <si>
    <t xml:space="preserve">03c9e98d-f65f-4415-b447-91d18e8f6765</t>
  </si>
  <si>
    <t xml:space="preserve">program,program_params,program_patterns,program_url</t>
  </si>
  <si>
    <t xml:space="preserve">program_params,program_patterns,program_url</t>
  </si>
  <si>
    <t xml:space="preserve">program</t>
  </si>
  <si>
    <t xml:space="preserve">0442f902-150d-4932-b671-f598ed4471df</t>
  </si>
  <si>
    <t xml:space="preserve">line,lineID,stops</t>
  </si>
  <si>
    <t xml:space="preserve">05174b5e-6a0d-4027-a26a-f043ae9ab5a4</t>
  </si>
  <si>
    <t xml:space="preserve">a9</t>
  </si>
  <si>
    <t xml:space="preserve">076fd317-0638-48bd-8111-3fb2df39c131</t>
  </si>
  <si>
    <t xml:space="preserve">10546761-dc0a-4e65-a46d-1123d21ae2d8</t>
  </si>
  <si>
    <t xml:space="preserve">tradidional bpmn makes it hardes to view object connections compared to cpee</t>
  </si>
  <si>
    <t xml:space="preserve">14e40cad-de2a-46a4-bc62-7b3f969ecc76</t>
  </si>
  <si>
    <t xml:space="preserve">167b5fc1-ac1a-4234-b246-6b4df7b175a7</t>
  </si>
  <si>
    <t xml:space="preserve">keeping read and write apart in CPEE BPMN
</t>
  </si>
  <si>
    <t xml:space="preserve">16db2a1a-7389-46ce-86e1-fbd3c924bfd8</t>
  </si>
  <si>
    <t xml:space="preserve">18b719f7-3652-4ab6-8ef7-6bcda80ba259</t>
  </si>
  <si>
    <t xml:space="preserve">18fcf92b-103c-4238-981c-1dcca8f55c9c</t>
  </si>
  <si>
    <t xml:space="preserve">a8,a9</t>
  </si>
  <si>
    <t xml:space="preserve">Information about reading/writing from or to data objects are easier to get (more compact view with additional information if you hover over the objects) while using CPEE BPMN</t>
  </si>
  <si>
    <t xml:space="preserve">19d2fa7c-78bc-4ac2-89c0-485130dd3949</t>
  </si>
  <si>
    <t xml:space="preserve">19d6031c-e0e7-42c2-b25b-a3c7ae02a1b2</t>
  </si>
  <si>
    <t xml:space="preserve">i cant really read the second diagram</t>
  </si>
  <si>
    <t xml:space="preserve">1afbf9ee-80b9-4502-91b3-b16d835aaf39</t>
  </si>
  <si>
    <t xml:space="preserve">1ce0dadb-b6cc-4be3-a9d7-115b74fe0c5c</t>
  </si>
  <si>
    <t xml:space="preserve">1d0f0221-6218-49a7-bb77-b16add35493c</t>
  </si>
  <si>
    <t xml:space="preserve">line,lineID,stopcoords,stops</t>
  </si>
  <si>
    <t xml:space="preserve">a1,a6,a7,a8,a9</t>
  </si>
  <si>
    <t xml:space="preserve">A definite upside of CPEE BPMN is the line-based presentation, which means that the appearance is consistent. One can imagine that with much experience, as long as CPEE BPMN can model a case as accurately as traditional BPMN, it can become much easier and efficient to work with CPEE, as a model will never look much too different from another, unlike with BPMN. The BPMN model was very cluttered with the message event at the beginning.</t>
  </si>
  <si>
    <t xml:space="preserve">1fcbb794-a8d6-458b-badd-f0d90dbbc3ce</t>
  </si>
  <si>
    <t xml:space="preserve">201405ab-b454-4221-8932-2add933a8217</t>
  </si>
  <si>
    <t xml:space="preserve">delay,stops</t>
  </si>
  <si>
    <t xml:space="preserve">delay,stopnames,stops</t>
  </si>
  <si>
    <t xml:space="preserve">21d4e75b-2ace-4387-ac23-31b054fc5c80</t>
  </si>
  <si>
    <t xml:space="preserve">22513e52-594a-4580-ae50-eb03d85a4230</t>
  </si>
  <si>
    <t xml:space="preserve">program,qr</t>
  </si>
  <si>
    <t xml:space="preserve">a7,a8</t>
  </si>
  <si>
    <t xml:space="preserve">25d1dfbf-09b7-45ef-98f6-9839232ac242</t>
  </si>
  <si>
    <t xml:space="preserve">a1,a6,a8,a9</t>
  </si>
  <si>
    <t xml:space="preserve">Ãbersichtlichkeit, remembering what is read and what is written (as in symbols), what is included in condition statements</t>
  </si>
  <si>
    <t xml:space="preserve">28fef484-a729-49ab-9fc7-ea1199c8cadf</t>
  </si>
  <si>
    <t xml:space="preserve">315b52ea-3bd8-4270-a304-5e9cdc831a60</t>
  </si>
  <si>
    <t xml:space="preserve">stopcoords,stops</t>
  </si>
  <si>
    <t xml:space="preserve">IT IS NOT LOADING
</t>
  </si>
  <si>
    <t xml:space="preserve">319bf27b-b1ae-4c3f-aea2-8f29e9d3fe13</t>
  </si>
  <si>
    <t xml:space="preserve">lineID,stops</t>
  </si>
  <si>
    <t xml:space="preserve">326a88d5-1f2f-485d-878b-5cb3a552337d</t>
  </si>
  <si>
    <t xml:space="preserve">in large BPMN models it often becomes hard to read the process due to many lines, fows, etc.</t>
  </si>
  <si>
    <t xml:space="preserve">32a3c608-8f84-4152-b5e4-57026364062c</t>
  </si>
  <si>
    <t xml:space="preserve">32dff521-9789-4045-96bc-44f7e5fb77a2</t>
  </si>
  <si>
    <t xml:space="preserve">356962de-0023-4356-bfb2-307509d7ea1b</t>
  </si>
  <si>
    <t xml:space="preserve">357e7d40-ecc5-4df5-9465-12ed6e1444bc</t>
  </si>
  <si>
    <t xml:space="preserve">366529b0-ff90-4510-8061-90bc00418848</t>
  </si>
  <si>
    <t xml:space="preserve">368e1740-27fa-4109-8e8f-aaeddde6fd52</t>
  </si>
  <si>
    <t xml:space="preserve">How to recognize which element is part of a loop; difference between blue dot on the line vs. next to the line</t>
  </si>
  <si>
    <t xml:space="preserve">3716533a-f331-4278-ac38-2c2680489834</t>
  </si>
  <si>
    <t xml:space="preserve">38ba51cc-1e23-4c05-86d0-914b7d773ed0</t>
  </si>
  <si>
    <t xml:space="preserve">3961484e-8fdc-4e6f-aaf0-0a0eef103fcc</t>
  </si>
  <si>
    <t xml:space="preserve">396fbf7d-8aaf-4854-88c9-955c9be5bb2d</t>
  </si>
  <si>
    <t xml:space="preserve">I forgot the meaning of the blue point, then I remembered. </t>
  </si>
  <si>
    <t xml:space="preserve">3aec01e5-7bd2-46ce-bf8a-a2c6a71f1f79</t>
  </si>
  <si>
    <t xml:space="preserve">3b96f7c4-3665-415c-8f91-7dd0aeb063b7</t>
  </si>
  <si>
    <t xml:space="preserve">Not really, the only "problem" i really face is unfamiliarity. I just have to think about stuff for a second</t>
  </si>
  <si>
    <t xml:space="preserve">3f0fef8a-9424-4767-878f-268b553b94bd</t>
  </si>
  <si>
    <t xml:space="preserve">43ada842-aaeb-4fac-b98f-84b5e18878cb</t>
  </si>
  <si>
    <t xml:space="preserve">47578adf-ba49-40a3-96fb-8b6048f52660</t>
  </si>
  <si>
    <t xml:space="preserve">a6,a8</t>
  </si>
  <si>
    <t xml:space="preserve">4e0262a1-a522-4575-aeec-4713d0554326</t>
  </si>
  <si>
    <t xml:space="preserve">stops</t>
  </si>
  <si>
    <t xml:space="preserve">line,stops</t>
  </si>
  <si>
    <t xml:space="preserve">a4,a6,a8</t>
  </si>
  <si>
    <t xml:space="preserve">51cc4264-d102-4524-a3ab-7dc7abbd89c8</t>
  </si>
  <si>
    <t xml:space="preserve">52b3f503-9754-4d5d-8d03-cbd47abb7487</t>
  </si>
  <si>
    <t xml:space="preserve">current_tray,initial,program,program_params,program_patterns,program_url,qr</t>
  </si>
  <si>
    <t xml:space="preserve">Nein, kann auch gerne komplexer werden, aber vielleicht nochmal zusammen mit den Studenten eine solche Aufgabe machen und nochmal alles erklÃÂ¤ren, nicht das irgendwo ein MissverstÃÂ¤ndnis aufkommt und dann jeder dieser Aufgaben bei einer Teilaufgabe falsch gelÃÂ¶st wird. Vor allem nochmal mit den Condititons. Sonst top.</t>
  </si>
  <si>
    <t xml:space="preserve">52bef86b-aed1-4680-94b1-43477539aceb</t>
  </si>
  <si>
    <t xml:space="preserve">same as before</t>
  </si>
  <si>
    <t xml:space="preserve">52cef19d-127a-4867-b7f3-94603909cdd0</t>
  </si>
  <si>
    <t xml:space="preserve">550a3812-444e-457a-9723-ad4d9256915b</t>
  </si>
  <si>
    <t xml:space="preserve">55d65560-ea62-4b9e-a170-0a21a5d05989</t>
  </si>
  <si>
    <t xml:space="preserve">delay,line,lineID</t>
  </si>
  <si>
    <t xml:space="preserve">59077794-31e4-4fa7-9af2-585de6914e75</t>
  </si>
  <si>
    <t xml:space="preserve">5f17c0eb-e84e-4fda-89e9-66b28d7d7378</t>
  </si>
  <si>
    <t xml:space="preserve">a1,a2,a3,a4,a5,a7,a8</t>
  </si>
  <si>
    <t xml:space="preserve">608b1d32-b2b9-47a1-8ae1-251ca5b0c244</t>
  </si>
  <si>
    <t xml:space="preserve">60d1350e-2a5d-47cd-9739-b32818593a40</t>
  </si>
  <si>
    <t xml:space="preserve">delay,line,stops</t>
  </si>
  <si>
    <t xml:space="preserve">current_tray,initial,program,qr</t>
  </si>
  <si>
    <t xml:space="preserve">622e1afa-17e7-47f3-9cb3-1a82a8e1080e</t>
  </si>
  <si>
    <t xml:space="preserve">62404065-6c53-4177-beb0-85231866f613</t>
  </si>
  <si>
    <t xml:space="preserve">Traditional BPMN was harder to read, due to higher complexity</t>
  </si>
  <si>
    <t xml:space="preserve">62d1bf34-6a8c-4209-a8f3-0ea1aac78ace</t>
  </si>
  <si>
    <t xml:space="preserve">64463dd1-98c1-4877-894a-972a313fc694</t>
  </si>
  <si>
    <t xml:space="preserve">64df044a-28f6-4c0e-9184-3cb33c9b87f9</t>
  </si>
  <si>
    <t xml:space="preserve">6c804c5b-a09d-4056-8229-e816d1da668e</t>
  </si>
  <si>
    <t xml:space="preserve">6e6b711d-3263-474f-bd0b-a929d6c0a3f8</t>
  </si>
  <si>
    <t xml:space="preserve">70444a97-1c51-43ea-a61f-e63a7d3ec3ec</t>
  </si>
  <si>
    <t xml:space="preserve">73ca42ed-fdf8-49de-8c65-9c291999549d</t>
  </si>
  <si>
    <t xml:space="preserve">a4,a5,a6</t>
  </si>
  <si>
    <t xml:space="preserve">744e4a86-f16f-4ea4-b6dc-bd8ebe5512a2</t>
  </si>
  <si>
    <t xml:space="preserve">745cd593-efb7-47c8-9b14-f37a38a492c1</t>
  </si>
  <si>
    <t xml:space="preserve">lineID</t>
  </si>
  <si>
    <t xml:space="preserve">line</t>
  </si>
  <si>
    <t xml:space="preserve">780bc4aa-80de-4506-8273-1c684c5e3773</t>
  </si>
  <si>
    <t xml:space="preserve">construction_sites,stopcoords</t>
  </si>
  <si>
    <t xml:space="preserve">current_tray,initial,qr</t>
  </si>
  <si>
    <t xml:space="preserve">792bf275-add4-42e1-bc6d-23afb3399da0</t>
  </si>
  <si>
    <t xml:space="preserve">ssenisenedi</t>
  </si>
  <si>
    <t xml:space="preserve">7b60217c-9be1-4977-ac34-8fb5a975e11e</t>
  </si>
  <si>
    <t xml:space="preserve">7bbc65f0-805d-44e3-aa3b-542c795f2841</t>
  </si>
  <si>
    <t xml:space="preserve">lineID,stopcoords,stops</t>
  </si>
  <si>
    <t xml:space="preserve">a1,a4,a8,a9</t>
  </si>
  <si>
    <t xml:space="preserve">7cc5bb6b-a2a1-48ea-8d0f-07c850788c7e</t>
  </si>
  <si>
    <t xml:space="preserve">7d88c946-45c7-419b-9d71-d2fcee0ba374</t>
  </si>
  <si>
    <t xml:space="preserve">7e6b97f0-bf7c-40aa-b635-75a6945027ea</t>
  </si>
  <si>
    <t xml:space="preserve">85556044-52eb-42d3-890e-7ea871784457</t>
  </si>
  <si>
    <t xml:space="preserve">8638b050-a48d-44f3-83ed-84c820d56306</t>
  </si>
  <si>
    <t xml:space="preserve">866139d7-8977-4216-b74c-21ddf99328c5</t>
  </si>
  <si>
    <t xml:space="preserve">87939db2-41e7-40c1-9527-ea3e63246c43</t>
  </si>
  <si>
    <t xml:space="preserve">8a09f12c-09c6-4c4c-b5f9-994b4cbff905</t>
  </si>
  <si>
    <t xml:space="preserve">8cebe49a-4682-44e9-aee4-01e4362602dc</t>
  </si>
  <si>
    <t xml:space="preserve">90effe47-30cd-47a0-a54d-e2bb7c2210bb</t>
  </si>
  <si>
    <t xml:space="preserve">delay,line</t>
  </si>
  <si>
    <t xml:space="preserve">937d358d-2a37-4517-800f-77ac0141ce5a</t>
  </si>
  <si>
    <t xml:space="preserve">The names of the dataobjects were out of scope, when i hovered over the red bar.</t>
  </si>
  <si>
    <t xml:space="preserve">939e58c2-0a38-4cb8-87f2-9a106e9233ff</t>
  </si>
  <si>
    <t xml:space="preserve">a1,a9</t>
  </si>
  <si>
    <t xml:space="preserve">95855ae9-4702-4480-90a2-435b1bb48bf4</t>
  </si>
  <si>
    <t xml:space="preserve">96fedc28-e100-4e7d-917f-ed84008a79bf</t>
  </si>
  <si>
    <t xml:space="preserve">9877c1eb-dea8-45b0-9f36-cd4a6b921e6f</t>
  </si>
  <si>
    <t xml:space="preserve">9ab8dff8-8cb8-4584-a06a-2842ffab78e8</t>
  </si>
  <si>
    <t xml:space="preserve">9acfc10a-7a7c-4696-b789-059b0b918949</t>
  </si>
  <si>
    <t xml:space="preserve">BPMN gets crowded easily which can delay workflow significantly. CPEE was easier, especially having IDs in a separate column. Having to hover over the Dataflow lines (translucent red ones) to see their name is, however, a bit of a hassle.</t>
  </si>
  <si>
    <t xml:space="preserve">9ad1786d-0a98-4e4f-a965-ad4640a2961c</t>
  </si>
  <si>
    <t xml:space="preserve">The CPEE BPMN was slightly easier because I now get more used to the notation and the kind of questions. The answer to the questions is very easy to find in the CPEE BPMN if you know where to look for it.</t>
  </si>
  <si>
    <t xml:space="preserve">9ef17643-8f4f-472d-9e2e-42616da9937b</t>
  </si>
  <si>
    <t xml:space="preserve">9f5392d4-eb07-4d5b-9eb1-e16684f72088</t>
  </si>
  <si>
    <t xml:space="preserve">9fd63781-84a7-4e75-aa15-e85e3c12861f</t>
  </si>
  <si>
    <t xml:space="preserve">a0695746-884f-4b0f-8202-b83cc6a6ad7f</t>
  </si>
  <si>
    <t xml:space="preserve">a0a7afc1-bd41-421e-9b9f-92ec62bc791c</t>
  </si>
  <si>
    <t xml:space="preserve">a1658a42-f29d-45d9-9026-595153ac3ebe</t>
  </si>
  <si>
    <t xml:space="preserve">a26e5412-a9d0-4853-b6f2-fbd948fe822f</t>
  </si>
  <si>
    <t xml:space="preserve">a57c658f-9dcc-4bb2-ad3c-eb0df6a7694f</t>
  </si>
  <si>
    <t xml:space="preserve">a79738d2-b9c9-45c5-9be9-698cf4a7ab74</t>
  </si>
  <si>
    <t xml:space="preserve">a9d45b68-6447-4915-b63f-dc6d3484d1b3</t>
  </si>
  <si>
    <t xml:space="preserve">cpee is still a bit harder </t>
  </si>
  <si>
    <t xml:space="preserve">ac04acf1-a6d9-4865-882c-4cd2407722bc</t>
  </si>
  <si>
    <t xml:space="preserve">ad62cb2d-e3e6-4a36-a3e9-11650a0fa975</t>
  </si>
  <si>
    <t xml:space="preserve">current_tray,program,program_url</t>
  </si>
  <si>
    <t xml:space="preserve">program,program_url</t>
  </si>
  <si>
    <t xml:space="preserve">a3,a5,a7</t>
  </si>
  <si>
    <t xml:space="preserve">adb6f62c-d0b2-43a9-8942-20414ea8adbd</t>
  </si>
  <si>
    <t xml:space="preserve">a4,a6,a8,a9</t>
  </si>
  <si>
    <t xml:space="preserve">b1bc4090-0108-44d8-ba35-bd957af042bb</t>
  </si>
  <si>
    <t xml:space="preserve">b2ccc0fc-26de-49ab-abf6-36bade82ddb6</t>
  </si>
  <si>
    <t xml:space="preserve">b3eeea33-eaf3-46b1-801f-6bd956628374</t>
  </si>
  <si>
    <t xml:space="preserve">bd56207d-744f-4ace-8172-6cb188f0633b</t>
  </si>
  <si>
    <t xml:space="preserve">decide rather a data object is used in conditions</t>
  </si>
  <si>
    <t xml:space="preserve">bd8f68fb-a8cf-4c20-967c-4b3846a06a55</t>
  </si>
  <si>
    <t xml:space="preserve">bea4bb23-c567-4b74-ad9d-1ad24ac07924</t>
  </si>
  <si>
    <t xml:space="preserve">bee9c1aa-bd22-4453-adb4-f0a2eb8db2c5</t>
  </si>
  <si>
    <t xml:space="preserve">c1e22cfe-739e-47d8-960e-3de48de7a8d5</t>
  </si>
  <si>
    <t xml:space="preserve">c64f0e9f-5c19-4f26-9dd7-b33bc3160809</t>
  </si>
  <si>
    <t xml:space="preserve">when lines in the normal bpmn intersect the whole data flow gets impossible to trace</t>
  </si>
  <si>
    <t xml:space="preserve">c6997780-e411-4504-8b93-7559717d0942</t>
  </si>
  <si>
    <t xml:space="preserve">ca3093c4-3e18-401e-99b7-6581cfb59e66</t>
  </si>
  <si>
    <t xml:space="preserve">The only problem with CPEE is lack of file labels</t>
  </si>
  <si>
    <t xml:space="preserve">cbf6ec6d-106f-41a1-bcd9-efe748c9b212</t>
  </si>
  <si>
    <t xml:space="preserve">ccaa0cf2-2ad3-45c9-890b-add76af43933</t>
  </si>
  <si>
    <t xml:space="preserve">delay,line,lineID,stopcoords,stops</t>
  </si>
  <si>
    <t xml:space="preserve">cd081bd5-0016-41c8-9add-fa4e46f2a4de</t>
  </si>
  <si>
    <t xml:space="preserve">ce8ac1d2-7dee-48ee-b5e0-a93be6e9b15f</t>
  </si>
  <si>
    <t xml:space="preserve">cfb6ac7a-1d32-4438-b9c4-450b30cb1a25</t>
  </si>
  <si>
    <t xml:space="preserve">no i don't</t>
  </si>
  <si>
    <t xml:space="preserve">d106251c-4055-4729-9343-fa498d3b97be</t>
  </si>
  <si>
    <t xml:space="preserve">d1aff833-a837-4519-9d1a-e3f8febbc68d</t>
  </si>
  <si>
    <t xml:space="preserve">d221a61a-b6f2-4ac5-a470-5c4a47340342</t>
  </si>
  <si>
    <t xml:space="preserve">d242f6aa-6fed-43b2-b5d5-ad21d098c9d9</t>
  </si>
  <si>
    <t xml:space="preserve">d3c1f655-cebb-40da-8c23-bdb6a823a838</t>
  </si>
  <si>
    <t xml:space="preserve">d4b48668-79f3-414e-a348-0fc1577d58a4</t>
  </si>
  <si>
    <t xml:space="preserve">d71a6ac0-1f79-4ab1-9b86-a7f3cb969970</t>
  </si>
  <si>
    <t xml:space="preserve">deciding whether or not some data strucuters were used in decision was hard to see in normal BPNM</t>
  </si>
  <si>
    <t xml:space="preserve">da60a94a-da1d-49e8-b266-7bbf039f170b</t>
  </si>
  <si>
    <t xml:space="preserve">a1,a2,a3,a5,a7,a8</t>
  </si>
  <si>
    <t xml:space="preserve">db6cb55c-566e-419e-b5ed-76c6b1410c20</t>
  </si>
  <si>
    <t xml:space="preserve">program_params,program_patterns,qr</t>
  </si>
  <si>
    <t xml:space="preserve">program_params,program_patterns</t>
  </si>
  <si>
    <t xml:space="preserve">qr</t>
  </si>
  <si>
    <t xml:space="preserve">dcb03f39-91bb-485c-b830-0eb3e8e0478a</t>
  </si>
  <si>
    <t xml:space="preserve">current_tray</t>
  </si>
  <si>
    <t xml:space="preserve">program_params</t>
  </si>
  <si>
    <t xml:space="preserve">a6</t>
  </si>
  <si>
    <t xml:space="preserve">Diagramm hat nicht geladen</t>
  </si>
  <si>
    <t xml:space="preserve">df4b402e-003e-4bb8-af80-43fcf14483d2</t>
  </si>
  <si>
    <t xml:space="preserve">e1e0edd6-4b42-4f7a-979c-4744b7cb2d47</t>
  </si>
  <si>
    <t xml:space="preserve">e1e554df-7e51-406f-872c-f42c4ea07901</t>
  </si>
  <si>
    <t xml:space="preserve">e5d707a2-f9c1-4b03-9ceb-de00214b7125</t>
  </si>
  <si>
    <t xml:space="preserve">e5e7b986-d01d-434e-a9f5-0f59e756c812</t>
  </si>
  <si>
    <t xml:space="preserve">ef45b0da-eb92-49d2-8bbd-612e12f442c6</t>
  </si>
  <si>
    <t xml:space="preserve">Seeing everything in traditional BPMN right from the beginning can be a bit overwhelming. You have to filter out what is important.</t>
  </si>
  <si>
    <t xml:space="preserve">f037f346-be3f-4e56-a385-b3f85a63219d</t>
  </si>
  <si>
    <t xml:space="preserve">f081781e-f200-40a0-9af1-90e82fc0e400</t>
  </si>
  <si>
    <t xml:space="preserve">f2326ec1-8f73-420f-a6de-46cf1f13a50f</t>
  </si>
  <si>
    <t xml:space="preserve">f9ae94fd-ce66-4dae-868d-592a9d3c5d68</t>
  </si>
  <si>
    <t xml:space="preserve">fac59722-37ef-434b-9301-d8eee01eb9bf</t>
  </si>
  <si>
    <t xml:space="preserve">current_tray,program_params,program_url</t>
  </si>
  <si>
    <t xml:space="preserve">fd1c975b-c775-433c-8248-408efac7e4ba</t>
  </si>
  <si>
    <t xml:space="preserve">fd90bdfb-7d32-461b-b03f-eaab866f8578</t>
  </si>
  <si>
    <t xml:space="preserve">fdd1110c-df17-42f1-a689-8547c6ce4a77</t>
  </si>
  <si>
    <t xml:space="preserve">0261cc33-3de0-4c57-9d3d-7e0a0291aee7</t>
  </si>
  <si>
    <t xml:space="preserve">Next QR, Order Item, and Tray</t>
  </si>
  <si>
    <t xml:space="preserve">complex</t>
  </si>
  <si>
    <t xml:space="preserve">count,current_tray,from,initial,order_id,order_item,order_list,qr,tray_positions,trays</t>
  </si>
  <si>
    <t xml:space="preserve">count,from,initial,order_id,order_list,qr,tray_positions,trays</t>
  </si>
  <si>
    <t xml:space="preserve">count,initial,order_item</t>
  </si>
  <si>
    <t xml:space="preserve">a12,a13,a8</t>
  </si>
  <si>
    <t xml:space="preserve">Stakeholders</t>
  </si>
  <si>
    <t xml:space="preserve">applications,counter,cur_app,idea_description,stakeholders,stakes,users</t>
  </si>
  <si>
    <t xml:space="preserve">counter,cur_app,idea_description,users</t>
  </si>
  <si>
    <t xml:space="preserve">counter,stakeholders,stakes,users</t>
  </si>
  <si>
    <t xml:space="preserve">a10,a12,a14,a16,a18,a2,a3,a4,a6,a7,a8</t>
  </si>
  <si>
    <t xml:space="preserve">03602acd-0972-42c8-ba6b-a5c6ec326821</t>
  </si>
  <si>
    <t xml:space="preserve">counter,cur_app,idea_description,stakeholders,stakes,users</t>
  </si>
  <si>
    <t xml:space="preserve">counter,idea_description,users</t>
  </si>
  <si>
    <t xml:space="preserve">a10,a14,a16,a18,a2,a3,a4,a6,a7,a8</t>
  </si>
  <si>
    <t xml:space="preserve">03d6156c-04a7-4553-a667-201ecefad37b</t>
  </si>
  <si>
    <t xml:space="preserve">stakeholders,stakes,users</t>
  </si>
  <si>
    <t xml:space="preserve">from,order_id,order_list,qr,tray_positions,trays</t>
  </si>
  <si>
    <t xml:space="preserve">count,current_tray,initial,order_item</t>
  </si>
  <si>
    <t xml:space="preserve">04e6d859-86fb-457f-a504-9f1503dec788</t>
  </si>
  <si>
    <t xml:space="preserve">counter,idea_description,stakeholders,stakes,users</t>
  </si>
  <si>
    <t xml:space="preserve">count,initial</t>
  </si>
  <si>
    <t xml:space="preserve">05b3a0ea-68e9-4f0c-ba06-deb3838ea5b4</t>
  </si>
  <si>
    <t xml:space="preserve">05be43ce-8b5d-4449-a8ed-931e6a4a92fd</t>
  </si>
  <si>
    <t xml:space="preserve">count,from,initial,order_id,order_item,order_list,qr,tray_positions,trays</t>
  </si>
  <si>
    <t xml:space="preserve">count,order_item</t>
  </si>
  <si>
    <t xml:space="preserve">from,initial,order_id,order_list,qr,tray_positions,trays</t>
  </si>
  <si>
    <t xml:space="preserve">05ebabd3-9611-42cf-be4a-8a0ea3bf6011</t>
  </si>
  <si>
    <t xml:space="preserve">0dc41186-1db3-456b-a788-22d83cde7f24</t>
  </si>
  <si>
    <t xml:space="preserve">counter,users</t>
  </si>
  <si>
    <t xml:space="preserve">count,current_tray,order_item</t>
  </si>
  <si>
    <t xml:space="preserve">a12,a8</t>
  </si>
  <si>
    <t xml:space="preserve">10e010a1-09a9-435e-bfa3-a58966f252fb</t>
  </si>
  <si>
    <t xml:space="preserve">cur_app,idea_description</t>
  </si>
  <si>
    <t xml:space="preserve">stakeholders,stakes</t>
  </si>
  <si>
    <t xml:space="preserve">a14,a18</t>
  </si>
  <si>
    <t xml:space="preserve">1175ea49-0beb-485b-9f4a-23b2a5913e83</t>
  </si>
  <si>
    <t xml:space="preserve">11f3f70d-6fb5-4a53-b523-f5c7c9ce6f56</t>
  </si>
  <si>
    <t xml:space="preserve">count,from,order_id,order_list,qr,tray_positions,trays</t>
  </si>
  <si>
    <t xml:space="preserve">all_apps,applications,counter,cur_app,idea_description,stakeholders,stakes,users</t>
  </si>
  <si>
    <t xml:space="preserve">14df3509-ba18-4237-85c7-2c196f50dd44</t>
  </si>
  <si>
    <t xml:space="preserve">counter,cur_app,idea_description</t>
  </si>
  <si>
    <t xml:space="preserve">CPEE fÃ¤llt bei grÃ¶Ãeren Sachen leichter aus, da es Ã¼bersichtlicher bleibt, auch beim drÃ¼ber "hovern". Gerne mehr Ã¼ben, manche Fehler bemerkt man direkt eine Minute danach.</t>
  </si>
  <si>
    <t xml:space="preserve">153db522-a811-45b2-8849-7f8b31bd797d</t>
  </si>
  <si>
    <t xml:space="preserve">1b4d36f4-c2ea-44b4-841a-d66ac78a7c04</t>
  </si>
  <si>
    <t xml:space="preserve">count,from,initial,order_id,qr,tray_positions,trays</t>
  </si>
  <si>
    <t xml:space="preserve">200e9a03-7e98-4daf-abfb-208550456a52</t>
  </si>
  <si>
    <t xml:space="preserve">from,initial,order,order_list,qr,tray_positions,trays</t>
  </si>
  <si>
    <t xml:space="preserve">initial</t>
  </si>
  <si>
    <t xml:space="preserve">When the diagramms get large, CPEE BPMN is easier than following the lines btw. data objects and tasks in classical BPMN</t>
  </si>
  <si>
    <t xml:space="preserve">232a93e9-6a52-4b03-83c6-c3885f0c0d5d</t>
  </si>
  <si>
    <t xml:space="preserve">253b4f9b-2357-4cb9-8a39-8b8f4efe030e</t>
  </si>
  <si>
    <t xml:space="preserve">counter,stakeholders,users</t>
  </si>
  <si>
    <t xml:space="preserve">a12,a16,a18,a2,a3,a4,a6,a7,a8</t>
  </si>
  <si>
    <t xml:space="preserve">28253b2e-e25d-4b16-b661-6a2a61ab88f9</t>
  </si>
  <si>
    <t xml:space="preserve">29ae41cd-641a-46f0-b14c-2e1c75bc3776</t>
  </si>
  <si>
    <t xml:space="preserve">all_apps,counter,cur_app,idea_description,stakeholders,stakes,users</t>
  </si>
  <si>
    <t xml:space="preserve">a10,a12,a16,a18,a2,a3,a4,a6,a7,a8</t>
  </si>
  <si>
    <t xml:space="preserve">order_id,order_item,order_list,qr,tray_positions,trays</t>
  </si>
  <si>
    <t xml:space="preserve">initial,order_list</t>
  </si>
  <si>
    <t xml:space="preserve">order,qr,trays</t>
  </si>
  <si>
    <t xml:space="preserve">a10,a7,a8</t>
  </si>
  <si>
    <t xml:space="preserve">2cda32d9-6643-408b-b584-74cd9569847a</t>
  </si>
  <si>
    <t xml:space="preserve">a10,a12,a14,a16,a18,a2,a4,a6,a7,a8</t>
  </si>
  <si>
    <t xml:space="preserve">2cef0f02-7881-4033-b0c4-655d27cd98d1</t>
  </si>
  <si>
    <t xml:space="preserve">I think the BPMN diagram was a lot more complex and this might be a bit of an unfair comparison. Nonetheless CPEE was easier to use. 
In my Opinion, process flow is easier to understand in normal BPMN, data flow in CPEE.</t>
  </si>
  <si>
    <t xml:space="preserve">2d3dcb8a-ef92-47d3-ab64-f1378f0096d9</t>
  </si>
  <si>
    <t xml:space="preserve">a10,a14,a16,a18,a2,a4,a7,a8</t>
  </si>
  <si>
    <t xml:space="preserve">current_tray,initial,order_id,order_item,order_list,qr,tray_positions,trays</t>
  </si>
  <si>
    <t xml:space="preserve">current_tray,order_item</t>
  </si>
  <si>
    <t xml:space="preserve">a12,a13,a7,a8,a9</t>
  </si>
  <si>
    <t xml:space="preserve">2fbeaae6-e592-47ec-8392-74aeaef9ff9d</t>
  </si>
  <si>
    <t xml:space="preserve">a10,a16,a2,a3,a4,a6,a7,a8</t>
  </si>
  <si>
    <t xml:space="preserve">31930437-022b-40d4-9a27-2b317f6ed21c</t>
  </si>
  <si>
    <t xml:space="preserve">a10,a14,a16,a18,a2,a4,a6,a7,a8</t>
  </si>
  <si>
    <t xml:space="preserve">count,from,initial,order,order_id,qr,tray_positions,trays</t>
  </si>
  <si>
    <t xml:space="preserve">3382501a-2443-4908-9b8a-700bcc122fc1</t>
  </si>
  <si>
    <t xml:space="preserve">34b7463c-5c04-4aae-b603-e29552c35965</t>
  </si>
  <si>
    <t xml:space="preserve">34fc64e9-5c92-4b65-86c8-3837e0c190fe</t>
  </si>
  <si>
    <t xml:space="preserve">count,current_tray,from,initial,order_id,order_item,order_list,tray_positions,trays</t>
  </si>
  <si>
    <t xml:space="preserve">count,from,order_id,order_item,order_list,qr,tray_positions,trays</t>
  </si>
  <si>
    <t xml:space="preserve">count,current_tray,initial</t>
  </si>
  <si>
    <t xml:space="preserve">counter,cur_app,idea_description,result,stakeholders,stakes,users</t>
  </si>
  <si>
    <t xml:space="preserve">a10,a12,a18,a2,a3,a4,a6,a7,a8</t>
  </si>
  <si>
    <t xml:space="preserve">danke</t>
  </si>
  <si>
    <t xml:space="preserve">355de98c-0056-4e50-8c7d-a0d89d41945e</t>
  </si>
  <si>
    <t xml:space="preserve">a16,a18,a2,a3,a4,a6,a7,a8</t>
  </si>
  <si>
    <t xml:space="preserve">count,current_tray,from,initial,order,order_id,order_item,order_list,qr,tray_positions,trays</t>
  </si>
  <si>
    <t xml:space="preserve">count,current_tray,from,initial,order_id,order_item,qr,tray_positions,trays</t>
  </si>
  <si>
    <t xml:space="preserve">391673c4-c714-47ee-84c1-7711d5929f7b</t>
  </si>
  <si>
    <t xml:space="preserve">3a0affdd-2def-4f50-a4ff-550caa0cd3ff</t>
  </si>
  <si>
    <t xml:space="preserve">count,current_tray,from,initial</t>
  </si>
  <si>
    <t xml:space="preserve">from</t>
  </si>
  <si>
    <t xml:space="preserve">if a complex problem,then cpee is better.But i don not really understand the CPEE</t>
  </si>
  <si>
    <t xml:space="preserve">407f9706-add9-4f7a-b2e1-fdf26b8f2002</t>
  </si>
  <si>
    <t xml:space="preserve">a10,a12,a14,a16,a18,a2,a3,a6,a7,a8</t>
  </si>
  <si>
    <t xml:space="preserve">447158c2-efea-4f9c-8832-28c99b438932</t>
  </si>
  <si>
    <t xml:space="preserve">47fd22ba-0338-45a8-ae6e-72bcb6293d43</t>
  </si>
  <si>
    <t xml:space="preserve">counter,cur_app,idea_initiator,stakeholders,stakes,users</t>
  </si>
  <si>
    <t xml:space="preserve">a10,a12,a18,a3,a6,a8</t>
  </si>
  <si>
    <t xml:space="preserve">order,order_list</t>
  </si>
  <si>
    <t xml:space="preserve">49830974-4ff1-4aa9-8414-b5b75c2642d0</t>
  </si>
  <si>
    <t xml:space="preserve">a10,a12,a13,a14,a15,a16,a18,a2,a23,a3,a4,a6,a7,a8</t>
  </si>
  <si>
    <t xml:space="preserve">too much clutter in the bpmn
</t>
  </si>
  <si>
    <t xml:space="preserve">49c7e06b-d0ac-498b-820c-7489aed98ef6</t>
  </si>
  <si>
    <t xml:space="preserve">a1,a16,a18,a2,a3,a6,a7,a8</t>
  </si>
  <si>
    <t xml:space="preserve">5217bf97-c280-4638-a595-ca9da60c2042</t>
  </si>
  <si>
    <t xml:space="preserve">no</t>
  </si>
  <si>
    <t xml:space="preserve">52a3184f-cfc1-4453-97f4-e65349243970</t>
  </si>
  <si>
    <t xml:space="preserve">a14,a16,a18,a2,a3,a4,a6,a7,a8</t>
  </si>
  <si>
    <t xml:space="preserve">count,current_tray,from,initial,order_id,order_item,order_list,qr,trays</t>
  </si>
  <si>
    <t xml:space="preserve">a13,a8</t>
  </si>
  <si>
    <t xml:space="preserve">54e1d76d-b614-480e-a76d-c36221f5eb83</t>
  </si>
  <si>
    <t xml:space="preserve">54e9ab5d-c4f4-4598-993e-11bb4b4c8101</t>
  </si>
  <si>
    <t xml:space="preserve">from,order_item,order_list,qr,tray_positions,trays</t>
  </si>
  <si>
    <t xml:space="preserve">all_apps,applications,counter,idea_description,idea_initiator,impact,roles,users</t>
  </si>
  <si>
    <t xml:space="preserve">applications,counter,roles,users</t>
  </si>
  <si>
    <t xml:space="preserve">all_apps,idea_description,idea_initiator,users</t>
  </si>
  <si>
    <t xml:space="preserve">a10,a12,a13,a14,a16,a2,a3,a4,a6,a7,a8</t>
  </si>
  <si>
    <t xml:space="preserve">55165a92-2fcd-4281-8aed-37cf6f1d027a</t>
  </si>
  <si>
    <t xml:space="preserve">Traditional BPMN got VERY unorganized with all those arrows</t>
  </si>
  <si>
    <t xml:space="preserve">570c8425-365f-49f4-bc3a-b984d1b92849</t>
  </si>
  <si>
    <t xml:space="preserve">count,from,initial,order,order_list,qr,tray_positions,trays</t>
  </si>
  <si>
    <t xml:space="preserve">mission</t>
  </si>
  <si>
    <t xml:space="preserve">pmgoals</t>
  </si>
  <si>
    <t xml:space="preserve">idea_description</t>
  </si>
  <si>
    <t xml:space="preserve">diagramm lÃ¤dt nicht
</t>
  </si>
  <si>
    <t xml:space="preserve">5aff45ae-4134-46fc-98ee-516c5770988f</t>
  </si>
  <si>
    <t xml:space="preserve">5ebf079b-4f89-4152-a739-70f124dac4d6</t>
  </si>
  <si>
    <t xml:space="preserve">5fa158d6-94de-4307-b4c4-ec6e4a775f54</t>
  </si>
  <si>
    <t xml:space="preserve">65d4e962-b10d-4970-983d-9ed978f8d0f8</t>
  </si>
  <si>
    <t xml:space="preserve">66dce3c6-1cf9-4e2b-a99b-69da49cd8827</t>
  </si>
  <si>
    <t xml:space="preserve">6d01a27e-781c-416c-8923-a4ccc8113aaf</t>
  </si>
  <si>
    <t xml:space="preserve">counter,cur_app,stakeholders,stakes,users</t>
  </si>
  <si>
    <t xml:space="preserve">6da508c5-7723-4712-8509-05c3ef4cb05f</t>
  </si>
  <si>
    <t xml:space="preserve">73823926-6db2-4a41-9fd1-3ab1bdffb0d5</t>
  </si>
  <si>
    <t xml:space="preserve">counter,cur_app,idea_description,stakes,users</t>
  </si>
  <si>
    <t xml:space="preserve">a10,a12,a14,a16,a2,a3,a4,a6,a8</t>
  </si>
  <si>
    <t xml:space="preserve">75f1871c-fd78-4fe2-a493-0dba1b3d9f92</t>
  </si>
  <si>
    <t xml:space="preserve">7638561a-160c-497b-8179-0577fcf0d412</t>
  </si>
  <si>
    <t xml:space="preserve">competitor_analysis,counter,cur_app,stakeholders,stakes</t>
  </si>
  <si>
    <t xml:space="preserve">competitor_analysis,cur_app</t>
  </si>
  <si>
    <t xml:space="preserve">counter,stakeholders,stakes</t>
  </si>
  <si>
    <t xml:space="preserve">a12,a13,a14,a4,a7</t>
  </si>
  <si>
    <t xml:space="preserve">The BPMN model was impossible to read, as data objects were connected to 8+ objects each. The CPEE in comparison was much easier to read and as more examples are done here, one gets noticeably faster at reading this style of notation.</t>
  </si>
  <si>
    <t xml:space="preserve">77f511cc-c631-4f81-a9b0-19df3efb0492</t>
  </si>
  <si>
    <t xml:space="preserve">79dd4e66-ef39-48f4-831b-a8429ae84342</t>
  </si>
  <si>
    <t xml:space="preserve">count,current_tray,initial,order_id,order_item,order_list,qr,tray_positions,trays</t>
  </si>
  <si>
    <t xml:space="preserve">7be95dd7-e044-40cb-972d-53d7be0822e7</t>
  </si>
  <si>
    <t xml:space="preserve">from,order_id,order_list,qr,trays</t>
  </si>
  <si>
    <t xml:space="preserve">7d879bdb-b7dd-4b94-82f8-61bc4a44f22c</t>
  </si>
  <si>
    <t xml:space="preserve">count,current_tray,from,initial,order_id,order_list,qr,tray_positions,trays</t>
  </si>
  <si>
    <t xml:space="preserve">7daffdfd-572d-4081-87be-197351166d67</t>
  </si>
  <si>
    <t xml:space="preserve">a10,a12,a14,a18,a2,a3,a4,a6,a7,a8</t>
  </si>
  <si>
    <t xml:space="preserve">7ebc4111-719e-42c5-8368-f9bfd44e6e83</t>
  </si>
  <si>
    <t xml:space="preserve">count,current_tray,initial,order_item,order_list,tray_positions,trays</t>
  </si>
  <si>
    <t xml:space="preserve">8006dade-f090-406a-a97c-4f533bc2a666</t>
  </si>
  <si>
    <t xml:space="preserve">competitor_analysis,countrygoals,idea_initiator,market_review,spider_graph</t>
  </si>
  <si>
    <t xml:space="preserve">competitive_landscape,idea_description,portfolio_review,problem_canvas</t>
  </si>
  <si>
    <t xml:space="preserve">businessgoals,finance,idea_description</t>
  </si>
  <si>
    <t xml:space="preserve">a12,a15,a6</t>
  </si>
  <si>
    <t xml:space="preserve">initial,programs</t>
  </si>
  <si>
    <t xml:space="preserve">programs</t>
  </si>
  <si>
    <t xml:space="preserve">current_tray,from,order_list,state</t>
  </si>
  <si>
    <t xml:space="preserve">a10,a8</t>
  </si>
  <si>
    <t xml:space="preserve">81baa06c-d1d3-4537-a860-05ebe37171a0</t>
  </si>
  <si>
    <t xml:space="preserve">initial,order,order_item,order_list</t>
  </si>
  <si>
    <t xml:space="preserve">initial,order</t>
  </si>
  <si>
    <t xml:space="preserve">81ead878-861b-42cf-9394-d43ad70b7594</t>
  </si>
  <si>
    <t xml:space="preserve">82610e3d-a5e3-45c8-9947-613fa079c486</t>
  </si>
  <si>
    <t xml:space="preserve">businessgoals,competitive_landscape,competitor_analysis,impact,market_review,result,stakeholders,stakes,users</t>
  </si>
  <si>
    <t xml:space="preserve">all_apps,competitor_analysis,countrygoals,emails,market_review,pmgoals,stakes,users</t>
  </si>
  <si>
    <t xml:space="preserve">businessgoals,idea_initiator,pmgoals,stakeholders,stakes</t>
  </si>
  <si>
    <t xml:space="preserve">a1,a10,a2,a3,a4,a6,a7,a8</t>
  </si>
  <si>
    <t xml:space="preserve">82a47d8d-ecbd-496b-8a1f-d0c2ad8b5a4e</t>
  </si>
  <si>
    <t xml:space="preserve">initial,order_list,tray_positions,trays</t>
  </si>
  <si>
    <t xml:space="preserve">850b4aa3-7861-461f-ab47-6084f436e35e</t>
  </si>
  <si>
    <t xml:space="preserve">85a3499c-a318-43fa-8cdf-de049251b504</t>
  </si>
  <si>
    <t xml:space="preserve">cur_app,idea_description,users</t>
  </si>
  <si>
    <t xml:space="preserve">875d1498-c08c-430f-8869-2220e45f35ed</t>
  </si>
  <si>
    <t xml:space="preserve">88289813-3895-4764-95d6-4423af0f16a2</t>
  </si>
  <si>
    <t xml:space="preserve">original bpmn was to complicated </t>
  </si>
  <si>
    <t xml:space="preserve">888b0115-4ffc-40f4-bf16-c9c7e4632adf</t>
  </si>
  <si>
    <t xml:space="preserve">8b547065-306d-4e12-9207-796ad6771bc1</t>
  </si>
  <si>
    <t xml:space="preserve">applications</t>
  </si>
  <si>
    <t xml:space="preserve">stakeholders</t>
  </si>
  <si>
    <t xml:space="preserve">a16</t>
  </si>
  <si>
    <t xml:space="preserve">8e304ae2-9432-4eb9-925c-d75ff57ad6be</t>
  </si>
  <si>
    <t xml:space="preserve">a12,a13,a7,a8</t>
  </si>
  <si>
    <t xml:space="preserve">8fafb73c-6536-4b6a-bf2f-d72488d7c988</t>
  </si>
  <si>
    <t xml:space="preserve">953eb3c2-cffb-4d41-9a2e-c7c35184e69b</t>
  </si>
  <si>
    <t xml:space="preserve">957b7d91-c297-4648-a81c-f0b9151b01fd</t>
  </si>
  <si>
    <t xml:space="preserve">emails,stakeholders,stakes,users</t>
  </si>
  <si>
    <t xml:space="preserve">9679735b-1cc6-404e-8891-e26d11859a90</t>
  </si>
  <si>
    <t xml:space="preserve">count,current_tray,from,initial,order_id,order_list,qr,tray_positions</t>
  </si>
  <si>
    <t xml:space="preserve">9a7e3625-e36c-439e-971e-df6726d994d9</t>
  </si>
  <si>
    <t xml:space="preserve">current_tray,initial,order,order_item</t>
  </si>
  <si>
    <t xml:space="preserve">9cb7c5d5-9fb9-47d5-9968-48bbf254d39a</t>
  </si>
  <si>
    <t xml:space="preserve">9d7d8561-6831-4c00-b390-27855134ec2d</t>
  </si>
  <si>
    <t xml:space="preserve">current_tray,from,initial,order,order_id,order_item,order_list,qr,tray_positions,trays</t>
  </si>
  <si>
    <t xml:space="preserve">9e4ecfe3-df99-450e-a5eb-481b264c1294</t>
  </si>
  <si>
    <t xml:space="preserve">a14</t>
  </si>
  <si>
    <t xml:space="preserve">9f11cc10-b7f6-4427-b080-91daf19cc5e8</t>
  </si>
  <si>
    <t xml:space="preserve">a10,a12,a16,a18,a2,a23,a3,a4,a6,a7,a8</t>
  </si>
  <si>
    <t xml:space="preserve">9f2f6f81-4eee-44b2-9c6d-d4054d2c183e</t>
  </si>
  <si>
    <t xml:space="preserve">all_apps,portfolio_review</t>
  </si>
  <si>
    <t xml:space="preserve">idea_initiator,market_review,spider_graph</t>
  </si>
  <si>
    <t xml:space="preserve">cur_app,market_review</t>
  </si>
  <si>
    <t xml:space="preserve">9fd5908b-ed76-4e31-b775-6925112e9977</t>
  </si>
  <si>
    <t xml:space="preserve">counter,cur_app,users</t>
  </si>
  <si>
    <t xml:space="preserve">a141cb2a-890f-4775-ab40-e333728dd187</t>
  </si>
  <si>
    <t xml:space="preserve">count,from,initial,order_id,order_item,order_list,tray_positions,trays</t>
  </si>
  <si>
    <t xml:space="preserve">a14,a16,a18,a2,a3,a6,a7,a8</t>
  </si>
  <si>
    <t xml:space="preserve">IN CPEE BPMN, if hiver over the objects at the upper line, their names are off screen and impossible to read.</t>
  </si>
  <si>
    <t xml:space="preserve">a1a84fd9-9421-4648-9381-f759867fe02f</t>
  </si>
  <si>
    <t xml:space="preserve">a3debd66-27ef-4acb-ad83-c2e1ec68a63c</t>
  </si>
  <si>
    <t xml:space="preserve">a6c56b42-c1d0-417e-947b-0ffac3732794</t>
  </si>
  <si>
    <t xml:space="preserve">a7fcdf28-13c8-49d2-bba0-23833f9f64ba</t>
  </si>
  <si>
    <t xml:space="preserve">idea_initiator,stakeholders,stakes</t>
  </si>
  <si>
    <t xml:space="preserve">counter,cur_app,stakeholders</t>
  </si>
  <si>
    <t xml:space="preserve">from,initial,order_id,order_item,order_list,qr,trays</t>
  </si>
  <si>
    <t xml:space="preserve">order_list,params,trays</t>
  </si>
  <si>
    <t xml:space="preserve">from,order,trays</t>
  </si>
  <si>
    <t xml:space="preserve">a8</t>
  </si>
  <si>
    <t xml:space="preserve">aa31aaa2-be8f-48b9-a912-b01475a2fce5</t>
  </si>
  <si>
    <t xml:space="preserve">ad5ab7f5-64fb-45f1-a5df-ba99a3d1feca</t>
  </si>
  <si>
    <t xml:space="preserve">b1715c23-e1ba-4adc-af21-50d3d84940c1</t>
  </si>
  <si>
    <t xml:space="preserve">b1b25cb1-f6b8-4652-acd1-28216d8b140e</t>
  </si>
  <si>
    <t xml:space="preserve">count,current_tray,from,initial,order_id,order_item,order_list,programs,qr,tray_positions,trays</t>
  </si>
  <si>
    <t xml:space="preserve">from,initial,order,order_id,order_list,qr,tray_positions,trays</t>
  </si>
  <si>
    <t xml:space="preserve">b30880fb-d0d5-40b3-8a93-d18fd91b1e7e</t>
  </si>
  <si>
    <t xml:space="preserve">a10,a16,a18,a2,a3,a4,a6,a7,a8</t>
  </si>
  <si>
    <t xml:space="preserve">b5437fe0-e182-4bee-8261-833fe7a266aa</t>
  </si>
  <si>
    <t xml:space="preserve">from,initial,order_id,order_list,qr,tray_positions</t>
  </si>
  <si>
    <t xml:space="preserve">a12,a16,a18,a3,a4,a6,a7,a8</t>
  </si>
  <si>
    <t xml:space="preserve">There are to many data objects to get an overview with in 45 sec</t>
  </si>
  <si>
    <t xml:space="preserve">b9d18295-fed3-44f2-86c8-a9a598f40351</t>
  </si>
  <si>
    <t xml:space="preserve">a10,a12,a18,a3,a7,a8</t>
  </si>
  <si>
    <t xml:space="preserve">ba6f1002-fd8e-4c99-8598-172e602fccde</t>
  </si>
  <si>
    <t xml:space="preserve">counter,idea_description,stakeholders,stakes</t>
  </si>
  <si>
    <t xml:space="preserve">counter,idea_description</t>
  </si>
  <si>
    <t xml:space="preserve">a10,a12,a6,a7</t>
  </si>
  <si>
    <t xml:space="preserve">baf2fe65-f685-4fbc-bcc1-7369e4afbb86</t>
  </si>
  <si>
    <t xml:space="preserve">bc22bda2-7a7b-4058-8ebb-643ebf6364c9</t>
  </si>
  <si>
    <t xml:space="preserve">count,initial,order_id,order_item,order_list,qr,tray_positions,trays</t>
  </si>
  <si>
    <t xml:space="preserve">c2a90473-4014-42e8-b0c8-189743b20235</t>
  </si>
  <si>
    <t xml:space="preserve">c43cbd01-6fae-425a-bd9d-1a09d82e6bd6</t>
  </si>
  <si>
    <t xml:space="preserve">a10,a12,a13,a14,a16,a18,a2,a3,a4,a6,a7,a8</t>
  </si>
  <si>
    <t xml:space="preserve">count,current_tray,initial,order,order_id,order_item,order_list,qr,tray_positions,trays</t>
  </si>
  <si>
    <t xml:space="preserve">current_tray,order_id,order_item,qr</t>
  </si>
  <si>
    <t xml:space="preserve">order,qr,tray_positions,trays</t>
  </si>
  <si>
    <t xml:space="preserve">a12,a8,a9</t>
  </si>
  <si>
    <t xml:space="preserve">NO.working.In.Safari</t>
  </si>
  <si>
    <t xml:space="preserve">c6be5b81-bc33-413e-a5aa-ba191efbb4cb</t>
  </si>
  <si>
    <t xml:space="preserve">c85bd58c-967f-48ad-9773-9b611a491c2f</t>
  </si>
  <si>
    <t xml:space="preserve">c86cba40-0a77-401a-94a9-e4271ae14a18</t>
  </si>
  <si>
    <t xml:space="preserve">cc69586e-a73c-4fc9-acd4-4a110481558f</t>
  </si>
  <si>
    <t xml:space="preserve">a10,a12,a14,a16,a18,a6,a7,a8</t>
  </si>
  <si>
    <t xml:space="preserve">cf0c5368-e059-4fa2-9e48-7f2dd1d8d0d9</t>
  </si>
  <si>
    <t xml:space="preserve">a13,a7,a8</t>
  </si>
  <si>
    <t xml:space="preserve">cf571a3b-36da-45b7-9609-678e32789de7</t>
  </si>
  <si>
    <t xml:space="preserve">a10,a12,a16,a2,a3,a4,a6,a7,a8</t>
  </si>
  <si>
    <t xml:space="preserve">d44e94f1-296e-422d-919f-b1452def490e</t>
  </si>
  <si>
    <t xml:space="preserve">a10,a12,a14,a16,a2,a3,a4,a6,a7,a8</t>
  </si>
  <si>
    <t xml:space="preserve">d5e33825-b27d-4cea-a5cd-5ec09cf02d8d</t>
  </si>
  <si>
    <t xml:space="preserve">da75c088-3839-460c-b12a-3d213ca8edc5</t>
  </si>
  <si>
    <t xml:space="preserve">count,current_tray</t>
  </si>
  <si>
    <t xml:space="preserve">db259a2a-873f-4b93-82f2-d382eebccb72</t>
  </si>
  <si>
    <t xml:space="preserve">ddbdc71d-9feb-405c-9b64-366c4ad49715</t>
  </si>
  <si>
    <t xml:space="preserve">keeping an overview becomes difficult with increasing size</t>
  </si>
  <si>
    <t xml:space="preserve">e6045444-d14a-474a-9476-07614934da35</t>
  </si>
  <si>
    <t xml:space="preserve">e7495356-a206-4705-a4c8-99a171c9a7d7</t>
  </si>
  <si>
    <t xml:space="preserve">competitor_analysis,counter,cur_app,stakeholders,stakes,users</t>
  </si>
  <si>
    <t xml:space="preserve">competitor_analysis,counter,cur_app,users</t>
  </si>
  <si>
    <t xml:space="preserve">e7f1e130-c21e-4941-a8e0-650e9cad9703</t>
  </si>
  <si>
    <t xml:space="preserve">e84d153c-27b8-4c8d-8338-3f21a45caaae</t>
  </si>
  <si>
    <t xml:space="preserve">counter,cur_app,idea_description,stakeholders,users</t>
  </si>
  <si>
    <t xml:space="preserve">a10,a12,a13,a14,a15,a16,a2,a3,a4,a6</t>
  </si>
  <si>
    <t xml:space="preserve">e9215c63-84b0-4fa8-ae98-834b8732902c</t>
  </si>
  <si>
    <t xml:space="preserve">ea3129e0-8f5f-44fc-9a73-13cf9cf882a2</t>
  </si>
  <si>
    <t xml:space="preserve">a10,a12,a14,a16,a2,a3,a4,a7,a8</t>
  </si>
  <si>
    <t xml:space="preserve">ee6d12a9-ae76-4352-a9cd-1ab71510b8ba</t>
  </si>
  <si>
    <t xml:space="preserve">ee80d47c-26e4-4e5b-a663-4c80a703179f</t>
  </si>
  <si>
    <t xml:space="preserve">CPEE BPMN is easier to read when there are this much elements
</t>
  </si>
  <si>
    <t xml:space="preserve">eecfd9e6-c582-46a9-ac28-849c8b88e1a5</t>
  </si>
  <si>
    <t xml:space="preserve">a10,a12,a14,a16,a18,a2,a3,a4,a6,a8</t>
  </si>
  <si>
    <t xml:space="preserve">f4914bb5-333d-4c25-9dc5-83c0eb0e79b3</t>
  </si>
  <si>
    <t xml:space="preserve">cur_app,idea_description,stakeholders,stakes,users</t>
  </si>
  <si>
    <t xml:space="preserve">applications,counter,finance,idea_initiator,stakeholders</t>
  </si>
  <si>
    <t xml:space="preserve">competitive_landscape,idea_description,stakeholders</t>
  </si>
  <si>
    <t xml:space="preserve">a12,a13,a4,a7</t>
  </si>
  <si>
    <t xml:space="preserve">way too many arrows</t>
  </si>
  <si>
    <t xml:space="preserve">f62fb1f2-299b-4a2b-81cc-1159797e4cb0</t>
  </si>
  <si>
    <t xml:space="preserve">f6a020a7-e277-47a4-9e7e-e0fbbe86d7a5</t>
  </si>
  <si>
    <t xml:space="preserve">f6c996ac-404a-4b8a-859d-fffdfff82599</t>
  </si>
  <si>
    <t xml:space="preserve">f8a36b0a-c989-4890-9beb-dc3f3c69bf41</t>
  </si>
  <si>
    <t xml:space="preserve">businessgoals,competitive_landscape,finance,impact,mission,pmgoals,portfolio_review,roles,stakeholders,stakes</t>
  </si>
  <si>
    <t xml:space="preserve">mission,pmgoals,stakes</t>
  </si>
  <si>
    <t xml:space="preserve">businessgoals,finance,impact</t>
  </si>
  <si>
    <t xml:space="preserve">a12,a14,a16,a2,a23,a6,a8</t>
  </si>
  <si>
    <t xml:space="preserve">faa6c891-4374-4566-bcb4-86ce08f14aff</t>
  </si>
  <si>
    <t xml:space="preserve">too many lines in BPMN, hard to identify what is actually linked, easily getting lost in lines. Suggestion: highlighting lines that are connected to the objec/task that is hovered over</t>
  </si>
  <si>
    <t xml:space="preserve">faa7b759-1393-4ed8-9103-5724e5fea56b</t>
  </si>
  <si>
    <t xml:space="preserve">to follow all the lines in the traditional BPNM was hard </t>
  </si>
  <si>
    <t xml:space="preserve">fce4b6ba-3b11-4b70-b208-90be57047ecc</t>
  </si>
  <si>
    <t xml:space="preserve">ff64fced-240c-4673-b8bb-a0d0b61507f9</t>
  </si>
  <si>
    <t xml:space="preserve">learned in class or from book</t>
  </si>
  <si>
    <t xml:space="preserve">UML, ER</t>
  </si>
  <si>
    <t xml:space="preserve">no experience</t>
  </si>
  <si>
    <t xml:space="preserve">used on one project in industry</t>
  </si>
  <si>
    <t xml:space="preserve">used on a class project</t>
  </si>
  <si>
    <t xml:space="preserve">UML</t>
  </si>
  <si>
    <t xml:space="preserve">used on multiple projects in industry</t>
  </si>
  <si>
    <t xml:space="preserve">ER</t>
  </si>
  <si>
    <t xml:space="preserve">ER, BPMN, UML</t>
  </si>
  <si>
    <t xml:space="preserve">ER, EPK</t>
  </si>
  <si>
    <t xml:space="preserve">ER, UML, class diagrams</t>
  </si>
  <si>
    <t xml:space="preserve">UM, ER</t>
  </si>
  <si>
    <t xml:space="preserve">UML, BPML</t>
  </si>
  <si>
    <t xml:space="preserve">uml</t>
  </si>
  <si>
    <t xml:space="preserve">-</t>
  </si>
  <si>
    <t xml:space="preserve">ad44d2ea-1840-4036-a882-304e5f5edfd1</t>
  </si>
  <si>
    <t xml:space="preserve">BPMN, UML, ER, </t>
  </si>
  <si>
    <t xml:space="preserve">UML, ER, BPMN, Petrinetze, Organigramme, Funktionshierachie-BÃ¤ume</t>
  </si>
  <si>
    <t xml:space="preserve">uml, er</t>
  </si>
  <si>
    <t xml:space="preserve">automation modeling adjacent to graphical modeling languages (make.com, n8n)</t>
  </si>
  <si>
    <t xml:space="preserve">none</t>
  </si>
  <si>
    <t xml:space="preserve">Most</t>
  </si>
  <si>
    <t xml:space="preserve">UML bekniet Epk petri nets</t>
  </si>
  <si>
    <t xml:space="preserve">ERM, User flows, Algorithms</t>
  </si>
  <si>
    <t xml:space="preserve">UML, ER, BPMN</t>
  </si>
  <si>
    <t xml:space="preserve">UML, BPMN 2.0, ER</t>
  </si>
  <si>
    <t xml:space="preserve">Not</t>
  </si>
  <si>
    <t xml:space="preserve">UML,ER,BPMN</t>
  </si>
  <si>
    <t xml:space="preserve">BPMN, ER</t>
  </si>
  <si>
    <t xml:space="preserve">UML, BPMN, EPK, Petrinetze</t>
  </si>
  <si>
    <t xml:space="preserve">ER, UML, EPK, BPMN</t>
  </si>
  <si>
    <t xml:space="preserve">keine</t>
  </si>
  <si>
    <t xml:space="preserve">only learned some umlï¼erï¼ petrinetz</t>
  </si>
  <si>
    <t xml:space="preserve">Uml</t>
  </si>
  <si>
    <t xml:space="preserve">ERM</t>
  </si>
  <si>
    <t xml:space="preserve">BPMN, ER, UML, EPK, Petri Nets, CPEE Trees, WSM Nets, BPEL</t>
  </si>
  <si>
    <t xml:space="preserve">bpmn</t>
  </si>
  <si>
    <t xml:space="preserve">UML, ER, Flow Chart</t>
  </si>
  <si>
    <t xml:space="preserve">UML, ERM</t>
  </si>
  <si>
    <t xml:space="preserve">UML, ER, BPMN, Petri-Net, EPC</t>
  </si>
  <si>
    <t xml:space="preserve">UML, ER, etc.</t>
  </si>
  <si>
    <t xml:space="preserve">UML, BPMN, ER</t>
  </si>
  <si>
    <t xml:space="preserve">ER, UML</t>
  </si>
  <si>
    <t xml:space="preserve">UML,ER</t>
  </si>
  <si>
    <t xml:space="preserve">None, I just got to see bpmn for the first time last week</t>
  </si>
  <si>
    <t xml:space="preserve">no one</t>
  </si>
  <si>
    <t xml:space="preserve">Please rate your **programming** experience with respect to the following 5-point levels:</t>
  </si>
  <si>
    <t xml:space="preserve">How many years of programming experience do you have?</t>
  </si>
  <si>
    <t xml:space="preserve">Please rate your **modelling** experience with respect to the following 5-point levels:</t>
  </si>
  <si>
    <t xml:space="preserve">How many years of modelling experience do you have?</t>
  </si>
  <si>
    <t xml:space="preserve">Which graphical modeling languages are you familiar with (e.g., UML, ER, etc.)?</t>
  </si>
  <si>
    <t xml:space="preserve">Simple</t>
  </si>
  <si>
    <t xml:space="preserve">Medium</t>
  </si>
  <si>
    <t xml:space="preserve">Complex</t>
  </si>
  <si>
    <t xml:space="preserve">Correct</t>
  </si>
  <si>
    <t xml:space="preserve">Duration</t>
  </si>
  <si>
    <t xml:space="preserve">Question</t>
  </si>
  <si>
    <t xml:space="preserve">S#</t>
  </si>
  <si>
    <t xml:space="preserve"> Cdurration</t>
  </si>
  <si>
    <t xml:space="preserve">M#</t>
  </si>
  <si>
    <t xml:space="preserve">C#</t>
  </si>
  <si>
    <t xml:space="preserve">G</t>
  </si>
  <si>
    <t xml:space="preserve">E</t>
  </si>
  <si>
    <t xml:space="preserve">!"Which data object(s) is task \"" + data.d['bpmn_task'] + "\" connected with?"</t>
  </si>
  <si>
    <t xml:space="preserve">RW Dos</t>
  </si>
  <si>
    <t xml:space="preserve">BPMN Q1</t>
  </si>
  <si>
    <t xml:space="preserve">J</t>
  </si>
  <si>
    <t xml:space="preserve">H</t>
  </si>
  <si>
    <t xml:space="preserve">!"Which data object(s) are read by task \"" + data.d['bpmn_task'] + "\"?"</t>
  </si>
  <si>
    <t xml:space="preserve">R Dos</t>
  </si>
  <si>
    <t xml:space="preserve">BPMN Q2</t>
  </si>
  <si>
    <t xml:space="preserve">M</t>
  </si>
  <si>
    <t xml:space="preserve">K</t>
  </si>
  <si>
    <t xml:space="preserve">!"Which data object(s) are written by task \"" + data.d['bpmn_task'] + "\"?"</t>
  </si>
  <si>
    <t xml:space="preserve">W Dos</t>
  </si>
  <si>
    <t xml:space="preserve">BPMN Q3</t>
  </si>
  <si>
    <t xml:space="preserve">P</t>
  </si>
  <si>
    <t xml:space="preserve">N</t>
  </si>
  <si>
    <t xml:space="preserve">!"Which tasks read and/or write the data object \"" + data.d['bpmn_do'] + "\"?"</t>
  </si>
  <si>
    <t xml:space="preserve">RW Tasks</t>
  </si>
  <si>
    <t xml:space="preserve">BPMN Q4</t>
  </si>
  <si>
    <t xml:space="preserve">S</t>
  </si>
  <si>
    <t xml:space="preserve">Q</t>
  </si>
  <si>
    <t xml:space="preserve">!"Is the data object \"" + data.d['bpmn_do'] + "\" used in conditions (as part of loops or decision branches)?"</t>
  </si>
  <si>
    <t xml:space="preserve">Conditions</t>
  </si>
  <si>
    <t xml:space="preserve">BPMN Q5</t>
  </si>
  <si>
    <t xml:space="preserve">AS</t>
  </si>
  <si>
    <t xml:space="preserve">All correct</t>
  </si>
  <si>
    <t xml:space="preserve">Y</t>
  </si>
  <si>
    <t xml:space="preserve">W</t>
  </si>
  <si>
    <t xml:space="preserve">CPEE Q1</t>
  </si>
  <si>
    <t xml:space="preserve">AB</t>
  </si>
  <si>
    <t xml:space="preserve">Z</t>
  </si>
  <si>
    <t xml:space="preserve">CPEE Q2</t>
  </si>
  <si>
    <t xml:space="preserve">AE</t>
  </si>
  <si>
    <t xml:space="preserve">AC</t>
  </si>
  <si>
    <t xml:space="preserve">CPEE Q3</t>
  </si>
  <si>
    <t xml:space="preserve">AH</t>
  </si>
  <si>
    <t xml:space="preserve">AF</t>
  </si>
  <si>
    <t xml:space="preserve">CPEE Q4</t>
  </si>
  <si>
    <t xml:space="preserve">AK</t>
  </si>
  <si>
    <t xml:space="preserve">AI</t>
  </si>
  <si>
    <t xml:space="preserve">CPEE Q5</t>
  </si>
  <si>
    <t xml:space="preserve">AT</t>
  </si>
  <si>
    <t xml:space="preserve">How easy was using ...? _(Easy ++ to Hard --)_</t>
  </si>
  <si>
    <t xml:space="preserve">All</t>
  </si>
  <si>
    <t xml:space="preserve">AP</t>
  </si>
  <si>
    <t xml:space="preserve">AQ</t>
  </si>
</sst>
</file>

<file path=xl/styles.xml><?xml version="1.0" encoding="utf-8"?>
<styleSheet xmlns="http://schemas.openxmlformats.org/spreadsheetml/2006/main">
  <numFmts count="5">
    <numFmt numFmtId="164" formatCode="General"/>
    <numFmt numFmtId="165" formatCode="@"/>
    <numFmt numFmtId="166" formatCode="0.00"/>
    <numFmt numFmtId="167" formatCode="0.00%"/>
    <numFmt numFmtId="168" formatCode="#,###.00\ [$secs]"/>
  </numFmts>
  <fonts count="5">
    <font>
      <sz val="10"/>
      <name val="Arial"/>
      <family val="2"/>
    </font>
    <font>
      <sz val="10"/>
      <name val="Arial"/>
      <family val="0"/>
    </font>
    <font>
      <sz val="10"/>
      <name val="Arial"/>
      <family val="0"/>
    </font>
    <font>
      <sz val="10"/>
      <name val="Arial"/>
      <family val="0"/>
    </font>
    <font>
      <b val="true"/>
      <sz val="10"/>
      <name val="Arial"/>
      <family val="2"/>
    </font>
  </fonts>
  <fills count="5">
    <fill>
      <patternFill patternType="none"/>
    </fill>
    <fill>
      <patternFill patternType="gray125"/>
    </fill>
    <fill>
      <patternFill patternType="solid">
        <fgColor rgb="FFAED581"/>
        <bgColor rgb="FFDDDDDD"/>
      </patternFill>
    </fill>
    <fill>
      <patternFill patternType="solid">
        <fgColor rgb="FFDDDDDD"/>
        <bgColor rgb="FFFFCCCC"/>
      </patternFill>
    </fill>
    <fill>
      <patternFill patternType="solid">
        <fgColor rgb="FFFFCCCC"/>
        <bgColor rgb="FFDDDDD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5" fontId="0" fillId="2"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3"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4"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0" fillId="4"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ED581"/>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376"/>
  <sheetViews>
    <sheetView showFormulas="false" showGridLines="true" showRowColHeaders="true" showZeros="true" rightToLeft="false" tabSelected="false" showOutlineSymbols="true" defaultGridColor="true" view="normal" topLeftCell="AJ49" colorId="64" zoomScale="160" zoomScaleNormal="160" zoomScalePageLayoutView="100" workbookViewId="0">
      <selection pane="topLeft" activeCell="AT141" activeCellId="0" sqref="AT141"/>
    </sheetView>
  </sheetViews>
  <sheetFormatPr defaultColWidth="11.53515625" defaultRowHeight="12.8" customHeight="true" zeroHeight="false" outlineLevelRow="0" outlineLevelCol="0"/>
  <cols>
    <col collapsed="false" customWidth="true" hidden="false" outlineLevel="0" max="1" min="1" style="0" width="34.54"/>
    <col collapsed="false" customWidth="true" hidden="false" outlineLevel="0" max="2" min="2" style="0" width="9.53"/>
    <col collapsed="false" customWidth="true" hidden="false" outlineLevel="0" max="3" min="3" style="0" width="14.34"/>
    <col collapsed="false" customWidth="true" hidden="false" outlineLevel="0" max="4" min="4" style="0" width="8.39"/>
    <col collapsed="false" customWidth="true" hidden="false" outlineLevel="0" max="5" min="5" style="0" width="10.89"/>
    <col collapsed="false" customWidth="true" hidden="false" outlineLevel="0" max="6" min="6" style="0" width="67.52"/>
    <col collapsed="false" customWidth="true" hidden="false" outlineLevel="0" max="7" min="7" style="0" width="5.47"/>
    <col collapsed="false" customWidth="true" hidden="false" outlineLevel="0" max="8" min="8" style="0" width="10.89"/>
    <col collapsed="false" customWidth="true" hidden="false" outlineLevel="0" max="9" min="9" style="0" width="58.48"/>
    <col collapsed="false" customWidth="true" hidden="false" outlineLevel="0" max="10" min="10" style="0" width="5.47"/>
    <col collapsed="false" customWidth="true" hidden="false" outlineLevel="0" max="11" min="11" style="0" width="9.92"/>
    <col collapsed="false" customWidth="true" hidden="false" outlineLevel="0" max="12" min="12" style="0" width="45.96"/>
    <col collapsed="false" customWidth="true" hidden="false" outlineLevel="0" max="13" min="13" style="0" width="5.47"/>
    <col collapsed="false" customWidth="true" hidden="false" outlineLevel="0" max="14" min="14" style="0" width="10.89"/>
    <col collapsed="false" customWidth="true" hidden="false" outlineLevel="0" max="15" min="15" style="0" width="43.86"/>
    <col collapsed="false" customWidth="true" hidden="false" outlineLevel="0" max="16" min="16" style="0" width="5.47"/>
    <col collapsed="false" customWidth="true" hidden="false" outlineLevel="0" max="17" min="17" style="0" width="10.89"/>
    <col collapsed="false" customWidth="true" hidden="false" outlineLevel="0" max="18" min="18" style="0" width="12.7"/>
    <col collapsed="false" customWidth="true" hidden="false" outlineLevel="0" max="19" min="19" style="0" width="5.47"/>
    <col collapsed="false" customWidth="true" hidden="false" outlineLevel="0" max="20" min="20" style="0" width="6.58"/>
    <col collapsed="false" customWidth="true" hidden="false" outlineLevel="0" max="21" min="21" style="0" width="26.48"/>
    <col collapsed="false" customWidth="true" hidden="false" outlineLevel="0" max="22" min="22" style="0" width="8.39"/>
    <col collapsed="false" customWidth="true" hidden="false" outlineLevel="0" max="23" min="23" style="0" width="10.89"/>
    <col collapsed="false" customWidth="true" hidden="false" outlineLevel="0" max="24" min="24" style="0" width="93.96"/>
    <col collapsed="false" customWidth="true" hidden="false" outlineLevel="0" max="25" min="25" style="0" width="5.47"/>
    <col collapsed="false" customWidth="true" hidden="false" outlineLevel="0" max="26" min="26" style="0" width="10.89"/>
    <col collapsed="false" customWidth="true" hidden="false" outlineLevel="0" max="27" min="27" style="0" width="67.52"/>
    <col collapsed="false" customWidth="true" hidden="false" outlineLevel="0" max="28" min="28" style="0" width="5.47"/>
    <col collapsed="false" customWidth="true" hidden="false" outlineLevel="0" max="29" min="29" style="0" width="9.92"/>
    <col collapsed="false" customWidth="true" hidden="false" outlineLevel="0" max="30" min="30" style="0" width="59.58"/>
    <col collapsed="false" customWidth="true" hidden="false" outlineLevel="0" max="31" min="31" style="0" width="5.47"/>
    <col collapsed="false" customWidth="true" hidden="false" outlineLevel="0" max="32" min="32" style="0" width="10.89"/>
    <col collapsed="false" customWidth="true" hidden="false" outlineLevel="0" max="33" min="33" style="0" width="36.91"/>
    <col collapsed="false" customWidth="true" hidden="false" outlineLevel="0" max="34" min="34" style="0" width="5.47"/>
    <col collapsed="false" customWidth="true" hidden="false" outlineLevel="0" max="35" min="35" style="0" width="10.89"/>
    <col collapsed="false" customWidth="true" hidden="false" outlineLevel="0" max="36" min="36" style="0" width="12.7"/>
    <col collapsed="false" customWidth="true" hidden="false" outlineLevel="0" max="37" min="37" style="0" width="5.47"/>
    <col collapsed="false" customWidth="true" hidden="false" outlineLevel="0" max="39" min="38" style="0" width="26.48"/>
    <col collapsed="false" customWidth="true" hidden="false" outlineLevel="0" max="40" min="40" style="0" width="8.39"/>
    <col collapsed="false" customWidth="true" hidden="false" outlineLevel="0" max="41" min="41" style="0" width="10.89"/>
    <col collapsed="false" customWidth="true" hidden="false" outlineLevel="0" max="43" min="42" style="0" width="3.1"/>
    <col collapsed="false" customWidth="true" hidden="false" outlineLevel="0" max="44" min="44" style="0" width="296.22"/>
  </cols>
  <sheetData>
    <row r="1" customFormat="false" ht="12.8" hidden="false" customHeight="false" outlineLevel="0" collapsed="false">
      <c r="A1" s="0" t="s">
        <v>0</v>
      </c>
      <c r="B1" s="0" t="s">
        <v>1</v>
      </c>
      <c r="C1" s="0" t="s">
        <v>2</v>
      </c>
      <c r="D1" s="0" t="s">
        <v>3</v>
      </c>
      <c r="E1" s="0" t="n">
        <v>18.19818</v>
      </c>
      <c r="F1" s="0" t="s">
        <v>4</v>
      </c>
      <c r="G1" s="1" t="s">
        <v>5</v>
      </c>
      <c r="H1" s="0" t="n">
        <v>16.633438</v>
      </c>
      <c r="I1" s="0" t="s">
        <v>4</v>
      </c>
      <c r="J1" s="1" t="s">
        <v>6</v>
      </c>
      <c r="K1" s="0" t="n">
        <v>13.622075</v>
      </c>
      <c r="L1" s="0" t="s">
        <v>7</v>
      </c>
      <c r="M1" s="1" t="s">
        <v>6</v>
      </c>
      <c r="N1" s="0" t="n">
        <v>28.204778</v>
      </c>
      <c r="O1" s="0" t="s">
        <v>8</v>
      </c>
      <c r="P1" s="1" t="s">
        <v>5</v>
      </c>
      <c r="Q1" s="0" t="n">
        <v>16.034109</v>
      </c>
      <c r="R1" s="0" t="s">
        <v>9</v>
      </c>
      <c r="S1" s="1" t="s">
        <v>6</v>
      </c>
      <c r="T1" s="0" t="s">
        <v>10</v>
      </c>
      <c r="U1" s="0" t="s">
        <v>11</v>
      </c>
      <c r="V1" s="0" t="s">
        <v>3</v>
      </c>
      <c r="W1" s="0" t="n">
        <v>89.795557</v>
      </c>
      <c r="X1" s="0" t="s">
        <v>12</v>
      </c>
      <c r="Y1" s="1" t="s">
        <v>6</v>
      </c>
      <c r="Z1" s="0" t="n">
        <v>14.684785</v>
      </c>
      <c r="AA1" s="0" t="s">
        <v>12</v>
      </c>
      <c r="AB1" s="1" t="s">
        <v>6</v>
      </c>
      <c r="AC1" s="0" t="n">
        <v>2.842104</v>
      </c>
      <c r="AD1" s="0" t="s">
        <v>13</v>
      </c>
      <c r="AE1" s="1" t="s">
        <v>6</v>
      </c>
      <c r="AF1" s="0" t="n">
        <v>2.435801</v>
      </c>
      <c r="AG1" s="0" t="s">
        <v>14</v>
      </c>
      <c r="AH1" s="1" t="s">
        <v>6</v>
      </c>
      <c r="AI1" s="0" t="n">
        <v>1.311049</v>
      </c>
      <c r="AJ1" s="0" t="s">
        <v>15</v>
      </c>
      <c r="AK1" s="1" t="s">
        <v>5</v>
      </c>
      <c r="AL1" s="0" t="s">
        <v>2</v>
      </c>
      <c r="AM1" s="0" t="s">
        <v>11</v>
      </c>
      <c r="AN1" s="0" t="s">
        <v>3</v>
      </c>
      <c r="AO1" s="0" t="n">
        <v>11.111347</v>
      </c>
      <c r="AP1" s="0" t="n">
        <v>2</v>
      </c>
      <c r="AQ1" s="0" t="n">
        <v>0</v>
      </c>
      <c r="AS1" s="2" t="str">
        <f aca="false">IF(AND(G1="true",J1="true",M1="true",P1="true",S1="true"),"true","false")</f>
        <v>false</v>
      </c>
      <c r="AT1" s="0" t="str">
        <f aca="false">IF(AND(Y1="true",AB1="true",AE1="true",AH1="true",AK1="true"),"true","false")</f>
        <v>false</v>
      </c>
    </row>
    <row r="2" customFormat="false" ht="12.8" hidden="false" customHeight="false" outlineLevel="0" collapsed="false">
      <c r="A2" s="0" t="s">
        <v>16</v>
      </c>
      <c r="B2" s="0" t="s">
        <v>1</v>
      </c>
      <c r="C2" s="0" t="s">
        <v>11</v>
      </c>
      <c r="D2" s="0" t="s">
        <v>3</v>
      </c>
      <c r="E2" s="0" t="n">
        <v>48.830044</v>
      </c>
      <c r="F2" s="0" t="s">
        <v>12</v>
      </c>
      <c r="G2" s="1" t="s">
        <v>6</v>
      </c>
      <c r="H2" s="0" t="n">
        <v>21.877845</v>
      </c>
      <c r="I2" s="0" t="s">
        <v>17</v>
      </c>
      <c r="J2" s="1" t="s">
        <v>5</v>
      </c>
      <c r="K2" s="0" t="n">
        <v>11.49739</v>
      </c>
      <c r="L2" s="0" t="s">
        <v>18</v>
      </c>
      <c r="M2" s="1" t="s">
        <v>6</v>
      </c>
      <c r="N2" s="0" t="n">
        <v>45.298577</v>
      </c>
      <c r="O2" s="0" t="s">
        <v>19</v>
      </c>
      <c r="P2" s="1" t="s">
        <v>5</v>
      </c>
      <c r="Q2" s="0" t="n">
        <v>103.603598</v>
      </c>
      <c r="R2" s="0" t="s">
        <v>15</v>
      </c>
      <c r="S2" s="1" t="s">
        <v>6</v>
      </c>
      <c r="T2" s="0" t="s">
        <v>10</v>
      </c>
      <c r="U2" s="0" t="s">
        <v>2</v>
      </c>
      <c r="V2" s="0" t="s">
        <v>3</v>
      </c>
      <c r="W2" s="0" t="n">
        <v>27.210217</v>
      </c>
      <c r="Y2" s="1" t="s">
        <v>6</v>
      </c>
      <c r="Z2" s="0" t="n">
        <v>0.603523</v>
      </c>
      <c r="AB2" s="1" t="s">
        <v>6</v>
      </c>
      <c r="AC2" s="0" t="n">
        <v>0.538801</v>
      </c>
      <c r="AE2" s="1" t="s">
        <v>6</v>
      </c>
      <c r="AF2" s="0" t="n">
        <v>0.53049</v>
      </c>
      <c r="AH2" s="1" t="s">
        <v>6</v>
      </c>
      <c r="AI2" s="0" t="n">
        <v>1.407071</v>
      </c>
      <c r="AK2" s="1" t="s">
        <v>6</v>
      </c>
      <c r="AL2" s="0" t="s">
        <v>11</v>
      </c>
      <c r="AM2" s="0" t="s">
        <v>2</v>
      </c>
      <c r="AN2" s="0" t="s">
        <v>3</v>
      </c>
      <c r="AO2" s="0" t="n">
        <v>15.486164</v>
      </c>
      <c r="AS2" s="2" t="str">
        <f aca="false">IF(AND(G2="true",J2="true",M2="true",P2="true",S2="true"),"true","false")</f>
        <v>false</v>
      </c>
      <c r="AT2" s="0" t="str">
        <f aca="false">IF(AND(Y2="true",AB2="true",AE2="true",AH2="true",AK2="true"),"true","false")</f>
        <v>false</v>
      </c>
    </row>
    <row r="3" customFormat="false" ht="12.8" hidden="false" customHeight="false" outlineLevel="0" collapsed="false">
      <c r="A3" s="0" t="s">
        <v>20</v>
      </c>
      <c r="B3" s="0" t="s">
        <v>1</v>
      </c>
      <c r="C3" s="0" t="s">
        <v>11</v>
      </c>
      <c r="D3" s="0" t="s">
        <v>3</v>
      </c>
      <c r="E3" s="0" t="n">
        <v>78.290149</v>
      </c>
      <c r="F3" s="0" t="s">
        <v>21</v>
      </c>
      <c r="G3" s="1" t="s">
        <v>5</v>
      </c>
      <c r="H3" s="0" t="n">
        <v>121.18928</v>
      </c>
      <c r="I3" s="0" t="s">
        <v>17</v>
      </c>
      <c r="J3" s="1" t="s">
        <v>5</v>
      </c>
      <c r="K3" s="0" t="n">
        <v>6.985788</v>
      </c>
      <c r="L3" s="0" t="s">
        <v>12</v>
      </c>
      <c r="M3" s="1" t="s">
        <v>5</v>
      </c>
      <c r="N3" s="0" t="n">
        <v>48.513785</v>
      </c>
      <c r="O3" s="0" t="s">
        <v>22</v>
      </c>
      <c r="P3" s="1" t="s">
        <v>6</v>
      </c>
      <c r="Q3" s="0" t="n">
        <v>47.606165</v>
      </c>
      <c r="R3" s="0" t="s">
        <v>15</v>
      </c>
      <c r="S3" s="1" t="s">
        <v>6</v>
      </c>
      <c r="T3" s="0" t="s">
        <v>10</v>
      </c>
      <c r="U3" s="0" t="s">
        <v>2</v>
      </c>
      <c r="V3" s="0" t="s">
        <v>3</v>
      </c>
      <c r="W3" s="0" t="n">
        <v>111.011072</v>
      </c>
      <c r="X3" s="0" t="s">
        <v>4</v>
      </c>
      <c r="Y3" s="1" t="s">
        <v>5</v>
      </c>
      <c r="Z3" s="0" t="n">
        <v>18.17526</v>
      </c>
      <c r="AA3" s="0" t="s">
        <v>7</v>
      </c>
      <c r="AB3" s="1" t="s">
        <v>5</v>
      </c>
      <c r="AC3" s="0" t="n">
        <v>30.289332</v>
      </c>
      <c r="AD3" s="0" t="s">
        <v>4</v>
      </c>
      <c r="AE3" s="1" t="s">
        <v>5</v>
      </c>
      <c r="AF3" s="0" t="n">
        <v>41.362083</v>
      </c>
      <c r="AG3" s="0" t="s">
        <v>8</v>
      </c>
      <c r="AH3" s="1" t="s">
        <v>5</v>
      </c>
      <c r="AI3" s="0" t="n">
        <v>72.954892</v>
      </c>
      <c r="AJ3" s="0" t="s">
        <v>15</v>
      </c>
      <c r="AK3" s="1" t="s">
        <v>6</v>
      </c>
      <c r="AL3" s="0" t="s">
        <v>11</v>
      </c>
      <c r="AM3" s="0" t="s">
        <v>2</v>
      </c>
      <c r="AN3" s="0" t="s">
        <v>3</v>
      </c>
      <c r="AO3" s="0" t="n">
        <v>96.027494</v>
      </c>
      <c r="AP3" s="0" t="n">
        <v>0</v>
      </c>
      <c r="AQ3" s="0" t="n">
        <v>0</v>
      </c>
      <c r="AS3" s="2" t="str">
        <f aca="false">IF(AND(G3="true",J3="true",M3="true",P3="true",S3="true"),"true","false")</f>
        <v>false</v>
      </c>
      <c r="AT3" s="0" t="str">
        <f aca="false">IF(AND(Y3="true",AB3="true",AE3="true",AH3="true",AK3="true"),"true","false")</f>
        <v>false</v>
      </c>
    </row>
    <row r="4" customFormat="false" ht="12.8" hidden="false" customHeight="false" outlineLevel="0" collapsed="false">
      <c r="A4" s="0" t="s">
        <v>23</v>
      </c>
      <c r="B4" s="0" t="s">
        <v>1</v>
      </c>
      <c r="C4" s="0" t="s">
        <v>2</v>
      </c>
      <c r="D4" s="0" t="s">
        <v>3</v>
      </c>
      <c r="E4" s="0" t="n">
        <v>30.816763</v>
      </c>
      <c r="F4" s="0" t="s">
        <v>24</v>
      </c>
      <c r="G4" s="1" t="s">
        <v>6</v>
      </c>
      <c r="H4" s="0" t="n">
        <v>19.803598</v>
      </c>
      <c r="I4" s="0" t="s">
        <v>7</v>
      </c>
      <c r="J4" s="1" t="s">
        <v>5</v>
      </c>
      <c r="K4" s="0" t="n">
        <v>6.380718</v>
      </c>
      <c r="L4" s="0" t="s">
        <v>4</v>
      </c>
      <c r="M4" s="1" t="s">
        <v>5</v>
      </c>
      <c r="N4" s="0" t="n">
        <v>20.029326</v>
      </c>
      <c r="O4" s="0" t="s">
        <v>25</v>
      </c>
      <c r="P4" s="1" t="s">
        <v>6</v>
      </c>
      <c r="Q4" s="0" t="n">
        <v>23.394127</v>
      </c>
      <c r="R4" s="0" t="s">
        <v>9</v>
      </c>
      <c r="S4" s="1" t="s">
        <v>6</v>
      </c>
      <c r="T4" s="0" t="s">
        <v>10</v>
      </c>
      <c r="U4" s="0" t="s">
        <v>11</v>
      </c>
      <c r="V4" s="0" t="s">
        <v>3</v>
      </c>
      <c r="W4" s="0" t="n">
        <v>20.229052</v>
      </c>
      <c r="X4" s="0" t="s">
        <v>21</v>
      </c>
      <c r="Y4" s="1" t="s">
        <v>5</v>
      </c>
      <c r="Z4" s="0" t="n">
        <v>22.418518</v>
      </c>
      <c r="AA4" s="0" t="s">
        <v>12</v>
      </c>
      <c r="AB4" s="1" t="s">
        <v>6</v>
      </c>
      <c r="AC4" s="0" t="n">
        <v>7.760213</v>
      </c>
      <c r="AD4" s="0" t="s">
        <v>17</v>
      </c>
      <c r="AE4" s="1" t="s">
        <v>6</v>
      </c>
      <c r="AF4" s="0" t="n">
        <v>25.688841</v>
      </c>
      <c r="AG4" s="0" t="s">
        <v>26</v>
      </c>
      <c r="AH4" s="1" t="s">
        <v>6</v>
      </c>
      <c r="AI4" s="0" t="n">
        <v>10.662069</v>
      </c>
      <c r="AJ4" s="0" t="s">
        <v>15</v>
      </c>
      <c r="AK4" s="1" t="s">
        <v>5</v>
      </c>
      <c r="AL4" s="0" t="s">
        <v>2</v>
      </c>
      <c r="AM4" s="0" t="s">
        <v>11</v>
      </c>
      <c r="AN4" s="0" t="s">
        <v>3</v>
      </c>
      <c r="AO4" s="0" t="n">
        <v>32.77256</v>
      </c>
      <c r="AP4" s="0" t="n">
        <v>0</v>
      </c>
      <c r="AQ4" s="0" t="n">
        <v>0</v>
      </c>
      <c r="AS4" s="2" t="str">
        <f aca="false">IF(AND(G4="true",J4="true",M4="true",P4="true",S4="true"),"true","false")</f>
        <v>false</v>
      </c>
      <c r="AT4" s="0" t="str">
        <f aca="false">IF(AND(Y4="true",AB4="true",AE4="true",AH4="true",AK4="true"),"true","false")</f>
        <v>false</v>
      </c>
    </row>
    <row r="5" customFormat="false" ht="12.8" hidden="false" customHeight="false" outlineLevel="0" collapsed="false">
      <c r="A5" s="0" t="s">
        <v>27</v>
      </c>
      <c r="B5" s="0" t="s">
        <v>1</v>
      </c>
      <c r="C5" s="0" t="s">
        <v>2</v>
      </c>
      <c r="D5" s="0" t="s">
        <v>3</v>
      </c>
      <c r="E5" s="0" t="n">
        <v>54.115987</v>
      </c>
      <c r="F5" s="0" t="s">
        <v>4</v>
      </c>
      <c r="G5" s="1" t="s">
        <v>5</v>
      </c>
      <c r="H5" s="0" t="n">
        <v>17.465395</v>
      </c>
      <c r="I5" s="0" t="s">
        <v>28</v>
      </c>
      <c r="J5" s="1" t="s">
        <v>6</v>
      </c>
      <c r="K5" s="0" t="n">
        <v>24.712361</v>
      </c>
      <c r="L5" s="0" t="s">
        <v>4</v>
      </c>
      <c r="M5" s="1" t="s">
        <v>5</v>
      </c>
      <c r="N5" s="0" t="n">
        <v>29.20417</v>
      </c>
      <c r="O5" s="0" t="s">
        <v>8</v>
      </c>
      <c r="P5" s="1" t="s">
        <v>5</v>
      </c>
      <c r="Q5" s="0" t="n">
        <v>33.840706</v>
      </c>
      <c r="R5" s="0" t="s">
        <v>9</v>
      </c>
      <c r="S5" s="1" t="s">
        <v>6</v>
      </c>
      <c r="T5" s="0" t="s">
        <v>10</v>
      </c>
      <c r="U5" s="0" t="s">
        <v>11</v>
      </c>
      <c r="V5" s="0" t="s">
        <v>3</v>
      </c>
      <c r="W5" s="0" t="n">
        <v>104.246904</v>
      </c>
      <c r="X5" s="0" t="s">
        <v>21</v>
      </c>
      <c r="Y5" s="1" t="s">
        <v>5</v>
      </c>
      <c r="Z5" s="0" t="n">
        <v>18.276466</v>
      </c>
      <c r="AA5" s="0" t="s">
        <v>17</v>
      </c>
      <c r="AB5" s="1" t="s">
        <v>5</v>
      </c>
      <c r="AC5" s="0" t="n">
        <v>11.92723</v>
      </c>
      <c r="AD5" s="0" t="s">
        <v>12</v>
      </c>
      <c r="AE5" s="1" t="s">
        <v>5</v>
      </c>
      <c r="AF5" s="0" t="n">
        <v>48.012979</v>
      </c>
      <c r="AG5" s="0" t="s">
        <v>22</v>
      </c>
      <c r="AH5" s="1" t="s">
        <v>6</v>
      </c>
      <c r="AI5" s="0" t="n">
        <v>8.318705</v>
      </c>
      <c r="AJ5" s="0" t="s">
        <v>15</v>
      </c>
      <c r="AK5" s="1" t="s">
        <v>5</v>
      </c>
      <c r="AL5" s="0" t="s">
        <v>2</v>
      </c>
      <c r="AM5" s="0" t="s">
        <v>11</v>
      </c>
      <c r="AN5" s="0" t="s">
        <v>3</v>
      </c>
      <c r="AO5" s="0" t="n">
        <v>28.826002</v>
      </c>
      <c r="AP5" s="0" t="n">
        <v>2</v>
      </c>
      <c r="AQ5" s="0" t="n">
        <v>0</v>
      </c>
      <c r="AS5" s="2" t="str">
        <f aca="false">IF(AND(G5="true",J5="true",M5="true",P5="true",S5="true"),"true","false")</f>
        <v>false</v>
      </c>
      <c r="AT5" s="0" t="str">
        <f aca="false">IF(AND(Y5="true",AB5="true",AE5="true",AH5="true",AK5="true"),"true","false")</f>
        <v>false</v>
      </c>
    </row>
    <row r="6" customFormat="false" ht="12.8" hidden="false" customHeight="false" outlineLevel="0" collapsed="false">
      <c r="A6" s="0" t="s">
        <v>29</v>
      </c>
      <c r="B6" s="0" t="s">
        <v>1</v>
      </c>
      <c r="C6" s="0" t="s">
        <v>2</v>
      </c>
      <c r="D6" s="0" t="s">
        <v>3</v>
      </c>
      <c r="E6" s="0" t="n">
        <v>21.166265</v>
      </c>
      <c r="F6" s="0" t="s">
        <v>4</v>
      </c>
      <c r="G6" s="1" t="s">
        <v>5</v>
      </c>
      <c r="H6" s="0" t="n">
        <v>10.468402</v>
      </c>
      <c r="I6" s="0" t="s">
        <v>4</v>
      </c>
      <c r="J6" s="1" t="s">
        <v>6</v>
      </c>
      <c r="K6" s="0" t="n">
        <v>5.674582</v>
      </c>
      <c r="L6" s="0" t="s">
        <v>7</v>
      </c>
      <c r="M6" s="1" t="s">
        <v>6</v>
      </c>
      <c r="N6" s="0" t="n">
        <v>14.380275</v>
      </c>
      <c r="O6" s="0" t="s">
        <v>8</v>
      </c>
      <c r="P6" s="1" t="s">
        <v>5</v>
      </c>
      <c r="Q6" s="0" t="n">
        <v>19.96628</v>
      </c>
      <c r="R6" s="0" t="s">
        <v>15</v>
      </c>
      <c r="S6" s="1" t="s">
        <v>6</v>
      </c>
      <c r="T6" s="0" t="s">
        <v>10</v>
      </c>
      <c r="U6" s="0" t="s">
        <v>11</v>
      </c>
      <c r="V6" s="0" t="s">
        <v>3</v>
      </c>
      <c r="W6" s="0" t="n">
        <v>11.078657</v>
      </c>
      <c r="X6" s="0" t="s">
        <v>30</v>
      </c>
      <c r="Y6" s="1" t="s">
        <v>6</v>
      </c>
      <c r="Z6" s="0" t="n">
        <v>4.728545</v>
      </c>
      <c r="AA6" s="0" t="s">
        <v>12</v>
      </c>
      <c r="AB6" s="1" t="s">
        <v>6</v>
      </c>
      <c r="AC6" s="0" t="n">
        <v>9.323602</v>
      </c>
      <c r="AD6" s="0" t="s">
        <v>17</v>
      </c>
      <c r="AE6" s="1" t="s">
        <v>6</v>
      </c>
      <c r="AF6" s="0" t="n">
        <v>9.716122</v>
      </c>
      <c r="AG6" s="0" t="s">
        <v>31</v>
      </c>
      <c r="AH6" s="1" t="s">
        <v>6</v>
      </c>
      <c r="AI6" s="0" t="n">
        <v>13.177563</v>
      </c>
      <c r="AJ6" s="0" t="s">
        <v>9</v>
      </c>
      <c r="AK6" s="1" t="s">
        <v>6</v>
      </c>
      <c r="AL6" s="0" t="s">
        <v>2</v>
      </c>
      <c r="AM6" s="0" t="s">
        <v>11</v>
      </c>
      <c r="AN6" s="0" t="s">
        <v>3</v>
      </c>
      <c r="AO6" s="0" t="n">
        <v>31.004489</v>
      </c>
      <c r="AP6" s="0" t="n">
        <v>2</v>
      </c>
      <c r="AQ6" s="0" t="n">
        <v>0</v>
      </c>
      <c r="AR6" s="0" t="s">
        <v>32</v>
      </c>
      <c r="AS6" s="2" t="str">
        <f aca="false">IF(AND(G6="true",J6="true",M6="true",P6="true",S6="true"),"true","false")</f>
        <v>false</v>
      </c>
      <c r="AT6" s="0" t="str">
        <f aca="false">IF(AND(Y6="true",AB6="true",AE6="true",AH6="true",AK6="true"),"true","false")</f>
        <v>false</v>
      </c>
    </row>
    <row r="7" customFormat="false" ht="12.8" hidden="false" customHeight="false" outlineLevel="0" collapsed="false">
      <c r="A7" s="0" t="s">
        <v>33</v>
      </c>
      <c r="B7" s="0" t="s">
        <v>1</v>
      </c>
      <c r="C7" s="0" t="s">
        <v>2</v>
      </c>
      <c r="D7" s="0" t="s">
        <v>3</v>
      </c>
      <c r="E7" s="0" t="n">
        <v>8.865678</v>
      </c>
      <c r="F7" s="0" t="s">
        <v>7</v>
      </c>
      <c r="G7" s="1" t="s">
        <v>6</v>
      </c>
      <c r="H7" s="0" t="n">
        <v>10.916101</v>
      </c>
      <c r="I7" s="0" t="s">
        <v>7</v>
      </c>
      <c r="J7" s="1" t="s">
        <v>5</v>
      </c>
      <c r="K7" s="0" t="n">
        <v>7.02223</v>
      </c>
      <c r="L7" s="0" t="s">
        <v>4</v>
      </c>
      <c r="M7" s="1" t="s">
        <v>5</v>
      </c>
      <c r="N7" s="0" t="n">
        <v>11.95172</v>
      </c>
      <c r="O7" s="0" t="s">
        <v>34</v>
      </c>
      <c r="P7" s="1" t="s">
        <v>6</v>
      </c>
      <c r="Q7" s="0" t="n">
        <v>29.234533</v>
      </c>
      <c r="R7" s="0" t="s">
        <v>9</v>
      </c>
      <c r="S7" s="1" t="s">
        <v>6</v>
      </c>
      <c r="T7" s="0" t="s">
        <v>10</v>
      </c>
      <c r="U7" s="0" t="s">
        <v>11</v>
      </c>
      <c r="V7" s="0" t="s">
        <v>3</v>
      </c>
      <c r="W7" s="0" t="n">
        <v>14.080474</v>
      </c>
      <c r="X7" s="0" t="s">
        <v>35</v>
      </c>
      <c r="Y7" s="1" t="s">
        <v>6</v>
      </c>
      <c r="Z7" s="0" t="n">
        <v>9.473922</v>
      </c>
      <c r="AA7" s="0" t="s">
        <v>17</v>
      </c>
      <c r="AB7" s="1" t="s">
        <v>5</v>
      </c>
      <c r="AC7" s="0" t="n">
        <v>6.675165</v>
      </c>
      <c r="AD7" s="0" t="s">
        <v>12</v>
      </c>
      <c r="AE7" s="1" t="s">
        <v>5</v>
      </c>
      <c r="AF7" s="0" t="n">
        <v>26.181035</v>
      </c>
      <c r="AG7" s="0" t="s">
        <v>19</v>
      </c>
      <c r="AH7" s="1" t="s">
        <v>5</v>
      </c>
      <c r="AI7" s="0" t="n">
        <v>6.086983</v>
      </c>
      <c r="AJ7" s="0" t="s">
        <v>15</v>
      </c>
      <c r="AK7" s="1" t="s">
        <v>5</v>
      </c>
      <c r="AL7" s="0" t="s">
        <v>2</v>
      </c>
      <c r="AM7" s="0" t="s">
        <v>11</v>
      </c>
      <c r="AN7" s="0" t="s">
        <v>3</v>
      </c>
      <c r="AO7" s="0" t="n">
        <v>14.595567</v>
      </c>
      <c r="AP7" s="0" t="n">
        <v>-1</v>
      </c>
      <c r="AQ7" s="0" t="n">
        <v>1</v>
      </c>
      <c r="AS7" s="2" t="str">
        <f aca="false">IF(AND(G7="true",J7="true",M7="true",P7="true",S7="true"),"true","false")</f>
        <v>false</v>
      </c>
      <c r="AT7" s="0" t="str">
        <f aca="false">IF(AND(Y7="true",AB7="true",AE7="true",AH7="true",AK7="true"),"true","false")</f>
        <v>false</v>
      </c>
    </row>
    <row r="8" customFormat="false" ht="12.8" hidden="false" customHeight="false" outlineLevel="0" collapsed="false">
      <c r="A8" s="0" t="s">
        <v>36</v>
      </c>
      <c r="B8" s="0" t="s">
        <v>1</v>
      </c>
      <c r="C8" s="0" t="s">
        <v>2</v>
      </c>
      <c r="D8" s="0" t="s">
        <v>3</v>
      </c>
      <c r="E8" s="0" t="n">
        <v>14.609313</v>
      </c>
      <c r="F8" s="0" t="s">
        <v>4</v>
      </c>
      <c r="G8" s="1" t="s">
        <v>5</v>
      </c>
      <c r="H8" s="0" t="n">
        <v>9.440073</v>
      </c>
      <c r="I8" s="0" t="s">
        <v>4</v>
      </c>
      <c r="J8" s="1" t="s">
        <v>6</v>
      </c>
      <c r="K8" s="0" t="n">
        <v>12.242627</v>
      </c>
      <c r="L8" s="0" t="s">
        <v>4</v>
      </c>
      <c r="M8" s="1" t="s">
        <v>5</v>
      </c>
      <c r="N8" s="0" t="n">
        <v>16.695539</v>
      </c>
      <c r="O8" s="0" t="s">
        <v>8</v>
      </c>
      <c r="P8" s="1" t="s">
        <v>5</v>
      </c>
      <c r="Q8" s="0" t="n">
        <v>18.89221</v>
      </c>
      <c r="R8" s="0" t="s">
        <v>9</v>
      </c>
      <c r="S8" s="1" t="s">
        <v>6</v>
      </c>
      <c r="T8" s="0" t="s">
        <v>10</v>
      </c>
      <c r="U8" s="0" t="s">
        <v>11</v>
      </c>
      <c r="V8" s="0" t="s">
        <v>3</v>
      </c>
      <c r="W8" s="0" t="n">
        <v>32.883826</v>
      </c>
      <c r="X8" s="0" t="s">
        <v>21</v>
      </c>
      <c r="Y8" s="1" t="s">
        <v>5</v>
      </c>
      <c r="Z8" s="0" t="n">
        <v>9.476277</v>
      </c>
      <c r="AA8" s="0" t="s">
        <v>12</v>
      </c>
      <c r="AB8" s="1" t="s">
        <v>6</v>
      </c>
      <c r="AC8" s="0" t="n">
        <v>4.030773</v>
      </c>
      <c r="AD8" s="0" t="s">
        <v>17</v>
      </c>
      <c r="AE8" s="1" t="s">
        <v>6</v>
      </c>
      <c r="AF8" s="0" t="n">
        <v>25.486955</v>
      </c>
      <c r="AG8" s="0" t="s">
        <v>19</v>
      </c>
      <c r="AH8" s="1" t="s">
        <v>5</v>
      </c>
      <c r="AI8" s="0" t="n">
        <v>18.122844</v>
      </c>
      <c r="AJ8" s="0" t="s">
        <v>15</v>
      </c>
      <c r="AK8" s="1" t="s">
        <v>5</v>
      </c>
      <c r="AL8" s="0" t="s">
        <v>2</v>
      </c>
      <c r="AM8" s="0" t="s">
        <v>11</v>
      </c>
      <c r="AN8" s="0" t="s">
        <v>3</v>
      </c>
      <c r="AO8" s="0" t="n">
        <v>12.825459</v>
      </c>
      <c r="AP8" s="0" t="n">
        <v>2</v>
      </c>
      <c r="AQ8" s="0" t="n">
        <v>1</v>
      </c>
      <c r="AS8" s="2" t="str">
        <f aca="false">IF(AND(G8="true",J8="true",M8="true",P8="true",S8="true"),"true","false")</f>
        <v>false</v>
      </c>
      <c r="AT8" s="0" t="str">
        <f aca="false">IF(AND(Y8="true",AB8="true",AE8="true",AH8="true",AK8="true"),"true","false")</f>
        <v>false</v>
      </c>
    </row>
    <row r="9" customFormat="false" ht="12.8" hidden="false" customHeight="false" outlineLevel="0" collapsed="false">
      <c r="A9" s="0" t="s">
        <v>37</v>
      </c>
      <c r="B9" s="0" t="s">
        <v>1</v>
      </c>
      <c r="C9" s="0" t="s">
        <v>11</v>
      </c>
      <c r="D9" s="0" t="s">
        <v>3</v>
      </c>
      <c r="E9" s="0" t="n">
        <v>10.755159</v>
      </c>
      <c r="F9" s="0" t="s">
        <v>21</v>
      </c>
      <c r="G9" s="1" t="s">
        <v>5</v>
      </c>
      <c r="H9" s="0" t="n">
        <v>14.472332</v>
      </c>
      <c r="I9" s="0" t="s">
        <v>17</v>
      </c>
      <c r="J9" s="1" t="s">
        <v>5</v>
      </c>
      <c r="K9" s="0" t="n">
        <v>4.313003</v>
      </c>
      <c r="L9" s="0" t="s">
        <v>12</v>
      </c>
      <c r="M9" s="1" t="s">
        <v>5</v>
      </c>
      <c r="N9" s="0" t="n">
        <v>22.63504</v>
      </c>
      <c r="O9" s="0" t="s">
        <v>22</v>
      </c>
      <c r="P9" s="1" t="s">
        <v>6</v>
      </c>
      <c r="Q9" s="0" t="n">
        <v>31.26741</v>
      </c>
      <c r="R9" s="0" t="s">
        <v>9</v>
      </c>
      <c r="S9" s="1" t="s">
        <v>6</v>
      </c>
      <c r="T9" s="0" t="s">
        <v>10</v>
      </c>
      <c r="U9" s="0" t="s">
        <v>2</v>
      </c>
      <c r="V9" s="0" t="s">
        <v>3</v>
      </c>
      <c r="W9" s="0" t="n">
        <v>32.987542</v>
      </c>
      <c r="X9" s="0" t="s">
        <v>4</v>
      </c>
      <c r="Y9" s="1" t="s">
        <v>5</v>
      </c>
      <c r="Z9" s="0" t="n">
        <v>11.036902</v>
      </c>
      <c r="AA9" s="0" t="s">
        <v>4</v>
      </c>
      <c r="AB9" s="1" t="s">
        <v>6</v>
      </c>
      <c r="AC9" s="0" t="n">
        <v>9.401149</v>
      </c>
      <c r="AD9" s="0" t="s">
        <v>4</v>
      </c>
      <c r="AE9" s="1" t="s">
        <v>5</v>
      </c>
      <c r="AF9" s="0" t="n">
        <v>32.33137</v>
      </c>
      <c r="AG9" s="0" t="s">
        <v>8</v>
      </c>
      <c r="AH9" s="1" t="s">
        <v>5</v>
      </c>
      <c r="AI9" s="0" t="n">
        <v>14.545325</v>
      </c>
      <c r="AJ9" s="0" t="s">
        <v>15</v>
      </c>
      <c r="AK9" s="1" t="s">
        <v>6</v>
      </c>
      <c r="AL9" s="0" t="s">
        <v>11</v>
      </c>
      <c r="AM9" s="0" t="s">
        <v>2</v>
      </c>
      <c r="AN9" s="0" t="s">
        <v>3</v>
      </c>
      <c r="AO9" s="0" t="n">
        <v>11.131242</v>
      </c>
      <c r="AP9" s="0" t="n">
        <v>1</v>
      </c>
      <c r="AQ9" s="0" t="n">
        <v>0</v>
      </c>
      <c r="AS9" s="2" t="str">
        <f aca="false">IF(AND(G9="true",J9="true",M9="true",P9="true",S9="true"),"true","false")</f>
        <v>false</v>
      </c>
      <c r="AT9" s="0" t="str">
        <f aca="false">IF(AND(Y9="true",AB9="true",AE9="true",AH9="true",AK9="true"),"true","false")</f>
        <v>false</v>
      </c>
    </row>
    <row r="10" customFormat="false" ht="12.8" hidden="false" customHeight="false" outlineLevel="0" collapsed="false">
      <c r="A10" s="0" t="s">
        <v>38</v>
      </c>
      <c r="B10" s="0" t="s">
        <v>1</v>
      </c>
      <c r="C10" s="0" t="s">
        <v>11</v>
      </c>
      <c r="D10" s="0" t="s">
        <v>3</v>
      </c>
      <c r="E10" s="0" t="n">
        <v>27.86635</v>
      </c>
      <c r="F10" s="0" t="s">
        <v>21</v>
      </c>
      <c r="G10" s="1" t="s">
        <v>5</v>
      </c>
      <c r="H10" s="0" t="n">
        <v>33.803115</v>
      </c>
      <c r="I10" s="0" t="s">
        <v>17</v>
      </c>
      <c r="J10" s="1" t="s">
        <v>5</v>
      </c>
      <c r="K10" s="0" t="n">
        <v>4.508574</v>
      </c>
      <c r="L10" s="0" t="s">
        <v>12</v>
      </c>
      <c r="M10" s="1" t="s">
        <v>5</v>
      </c>
      <c r="N10" s="0" t="n">
        <v>66.278391</v>
      </c>
      <c r="O10" s="0" t="s">
        <v>22</v>
      </c>
      <c r="P10" s="1" t="s">
        <v>6</v>
      </c>
      <c r="Q10" s="0" t="n">
        <v>62.54033</v>
      </c>
      <c r="R10" s="0" t="s">
        <v>15</v>
      </c>
      <c r="S10" s="1" t="s">
        <v>6</v>
      </c>
      <c r="T10" s="0" t="s">
        <v>10</v>
      </c>
      <c r="U10" s="0" t="s">
        <v>2</v>
      </c>
      <c r="V10" s="0" t="s">
        <v>3</v>
      </c>
      <c r="W10" s="0" t="n">
        <v>49.091361</v>
      </c>
      <c r="X10" s="0" t="s">
        <v>39</v>
      </c>
      <c r="Y10" s="1" t="s">
        <v>6</v>
      </c>
      <c r="Z10" s="0" t="n">
        <v>73.073432</v>
      </c>
      <c r="AA10" s="0" t="s">
        <v>40</v>
      </c>
      <c r="AB10" s="1" t="s">
        <v>6</v>
      </c>
      <c r="AC10" s="0" t="n">
        <v>0.334399</v>
      </c>
      <c r="AE10" s="1" t="s">
        <v>6</v>
      </c>
      <c r="AF10" s="0" t="n">
        <v>76.510411</v>
      </c>
      <c r="AG10" s="0" t="s">
        <v>8</v>
      </c>
      <c r="AH10" s="1" t="s">
        <v>5</v>
      </c>
      <c r="AI10" s="0" t="n">
        <v>6.921414</v>
      </c>
      <c r="AJ10" s="0" t="s">
        <v>15</v>
      </c>
      <c r="AK10" s="1" t="s">
        <v>6</v>
      </c>
      <c r="AL10" s="0" t="s">
        <v>11</v>
      </c>
      <c r="AM10" s="0" t="s">
        <v>2</v>
      </c>
      <c r="AN10" s="0" t="s">
        <v>3</v>
      </c>
      <c r="AO10" s="0" t="n">
        <v>16.060695</v>
      </c>
      <c r="AP10" s="0" t="n">
        <v>1</v>
      </c>
      <c r="AQ10" s="0" t="n">
        <v>1</v>
      </c>
      <c r="AS10" s="2" t="str">
        <f aca="false">IF(AND(G10="true",J10="true",M10="true",P10="true",S10="true"),"true","false")</f>
        <v>false</v>
      </c>
      <c r="AT10" s="0" t="str">
        <f aca="false">IF(AND(Y10="true",AB10="true",AE10="true",AH10="true",AK10="true"),"true","false")</f>
        <v>false</v>
      </c>
    </row>
    <row r="11" customFormat="false" ht="12.8" hidden="false" customHeight="false" outlineLevel="0" collapsed="false">
      <c r="A11" s="0" t="s">
        <v>41</v>
      </c>
      <c r="B11" s="0" t="s">
        <v>1</v>
      </c>
      <c r="C11" s="0" t="s">
        <v>2</v>
      </c>
      <c r="D11" s="0" t="s">
        <v>3</v>
      </c>
      <c r="E11" s="0" t="n">
        <v>27.15559</v>
      </c>
      <c r="F11" s="0" t="s">
        <v>4</v>
      </c>
      <c r="G11" s="1" t="s">
        <v>5</v>
      </c>
      <c r="H11" s="0" t="n">
        <v>10.825807</v>
      </c>
      <c r="I11" s="0" t="s">
        <v>7</v>
      </c>
      <c r="J11" s="1" t="s">
        <v>5</v>
      </c>
      <c r="K11" s="0" t="n">
        <v>11.250723</v>
      </c>
      <c r="L11" s="0" t="s">
        <v>4</v>
      </c>
      <c r="M11" s="1" t="s">
        <v>5</v>
      </c>
      <c r="N11" s="0" t="n">
        <v>30.462786</v>
      </c>
      <c r="O11" s="0" t="s">
        <v>8</v>
      </c>
      <c r="P11" s="1" t="s">
        <v>5</v>
      </c>
      <c r="Q11" s="0" t="n">
        <v>14.6125</v>
      </c>
      <c r="R11" s="0" t="s">
        <v>9</v>
      </c>
      <c r="S11" s="1" t="s">
        <v>6</v>
      </c>
      <c r="T11" s="0" t="s">
        <v>10</v>
      </c>
      <c r="U11" s="0" t="s">
        <v>11</v>
      </c>
      <c r="V11" s="0" t="s">
        <v>3</v>
      </c>
      <c r="W11" s="0" t="n">
        <v>42.062175</v>
      </c>
      <c r="X11" s="0" t="s">
        <v>21</v>
      </c>
      <c r="Y11" s="1" t="s">
        <v>5</v>
      </c>
      <c r="Z11" s="0" t="n">
        <v>16.131163</v>
      </c>
      <c r="AA11" s="0" t="s">
        <v>12</v>
      </c>
      <c r="AB11" s="1" t="s">
        <v>6</v>
      </c>
      <c r="AC11" s="0" t="n">
        <v>7.985978</v>
      </c>
      <c r="AD11" s="0" t="s">
        <v>17</v>
      </c>
      <c r="AE11" s="1" t="s">
        <v>6</v>
      </c>
      <c r="AF11" s="0" t="n">
        <v>49.327833</v>
      </c>
      <c r="AG11" s="0" t="s">
        <v>19</v>
      </c>
      <c r="AH11" s="1" t="s">
        <v>5</v>
      </c>
      <c r="AI11" s="0" t="n">
        <v>16.113462</v>
      </c>
      <c r="AJ11" s="0" t="s">
        <v>15</v>
      </c>
      <c r="AK11" s="1" t="s">
        <v>5</v>
      </c>
      <c r="AL11" s="0" t="s">
        <v>2</v>
      </c>
      <c r="AM11" s="0" t="s">
        <v>11</v>
      </c>
      <c r="AN11" s="0" t="s">
        <v>3</v>
      </c>
      <c r="AO11" s="0" t="n">
        <v>85.196854</v>
      </c>
      <c r="AP11" s="0" t="n">
        <v>1</v>
      </c>
      <c r="AQ11" s="0" t="n">
        <v>1</v>
      </c>
      <c r="AR11" s="0" t="s">
        <v>42</v>
      </c>
      <c r="AS11" s="2" t="str">
        <f aca="false">IF(AND(G11="true",J11="true",M11="true",P11="true",S11="true"),"true","false")</f>
        <v>false</v>
      </c>
      <c r="AT11" s="0" t="str">
        <f aca="false">IF(AND(Y11="true",AB11="true",AE11="true",AH11="true",AK11="true"),"true","false")</f>
        <v>false</v>
      </c>
    </row>
    <row r="12" customFormat="false" ht="12.8" hidden="false" customHeight="false" outlineLevel="0" collapsed="false">
      <c r="A12" s="0" t="s">
        <v>43</v>
      </c>
      <c r="B12" s="0" t="s">
        <v>1</v>
      </c>
      <c r="C12" s="0" t="s">
        <v>2</v>
      </c>
      <c r="D12" s="0" t="s">
        <v>3</v>
      </c>
      <c r="E12" s="0" t="n">
        <v>18.159608</v>
      </c>
      <c r="F12" s="0" t="s">
        <v>4</v>
      </c>
      <c r="G12" s="1" t="s">
        <v>5</v>
      </c>
      <c r="H12" s="0" t="n">
        <v>18.669652</v>
      </c>
      <c r="I12" s="0" t="s">
        <v>7</v>
      </c>
      <c r="J12" s="1" t="s">
        <v>5</v>
      </c>
      <c r="K12" s="0" t="n">
        <v>13.298763</v>
      </c>
      <c r="L12" s="0" t="s">
        <v>4</v>
      </c>
      <c r="M12" s="1" t="s">
        <v>5</v>
      </c>
      <c r="N12" s="0" t="n">
        <v>38.773545</v>
      </c>
      <c r="O12" s="0" t="s">
        <v>8</v>
      </c>
      <c r="P12" s="1" t="s">
        <v>5</v>
      </c>
      <c r="Q12" s="0" t="n">
        <v>17.935423</v>
      </c>
      <c r="R12" s="0" t="s">
        <v>9</v>
      </c>
      <c r="S12" s="1" t="s">
        <v>6</v>
      </c>
      <c r="T12" s="0" t="s">
        <v>10</v>
      </c>
      <c r="U12" s="0" t="s">
        <v>11</v>
      </c>
      <c r="V12" s="0" t="s">
        <v>3</v>
      </c>
      <c r="W12" s="0" t="n">
        <v>16.917137</v>
      </c>
      <c r="X12" s="0" t="s">
        <v>21</v>
      </c>
      <c r="Y12" s="1" t="s">
        <v>5</v>
      </c>
      <c r="Z12" s="0" t="n">
        <v>30.237329</v>
      </c>
      <c r="AA12" s="0" t="s">
        <v>12</v>
      </c>
      <c r="AB12" s="1" t="s">
        <v>6</v>
      </c>
      <c r="AC12" s="0" t="n">
        <v>5.467975</v>
      </c>
      <c r="AD12" s="0" t="s">
        <v>17</v>
      </c>
      <c r="AE12" s="1" t="s">
        <v>6</v>
      </c>
      <c r="AF12" s="0" t="n">
        <v>30.02539</v>
      </c>
      <c r="AG12" s="0" t="s">
        <v>44</v>
      </c>
      <c r="AH12" s="1" t="s">
        <v>6</v>
      </c>
      <c r="AI12" s="0" t="n">
        <v>15.100483</v>
      </c>
      <c r="AJ12" s="0" t="s">
        <v>15</v>
      </c>
      <c r="AK12" s="1" t="s">
        <v>5</v>
      </c>
      <c r="AL12" s="0" t="s">
        <v>2</v>
      </c>
      <c r="AM12" s="0" t="s">
        <v>11</v>
      </c>
      <c r="AN12" s="0" t="s">
        <v>3</v>
      </c>
      <c r="AO12" s="0" t="n">
        <v>55.10876</v>
      </c>
      <c r="AP12" s="0" t="n">
        <v>1</v>
      </c>
      <c r="AQ12" s="0" t="n">
        <v>1</v>
      </c>
      <c r="AS12" s="2" t="str">
        <f aca="false">IF(AND(G12="true",J12="true",M12="true",P12="true",S12="true"),"true","false")</f>
        <v>false</v>
      </c>
      <c r="AT12" s="0" t="str">
        <f aca="false">IF(AND(Y12="true",AB12="true",AE12="true",AH12="true",AK12="true"),"true","false")</f>
        <v>false</v>
      </c>
    </row>
    <row r="13" customFormat="false" ht="12.8" hidden="false" customHeight="false" outlineLevel="0" collapsed="false">
      <c r="A13" s="0" t="s">
        <v>45</v>
      </c>
      <c r="B13" s="0" t="s">
        <v>1</v>
      </c>
      <c r="C13" s="0" t="s">
        <v>11</v>
      </c>
      <c r="D13" s="0" t="s">
        <v>3</v>
      </c>
      <c r="E13" s="0" t="n">
        <v>16.123896</v>
      </c>
      <c r="F13" s="0" t="s">
        <v>21</v>
      </c>
      <c r="G13" s="1" t="s">
        <v>5</v>
      </c>
      <c r="H13" s="0" t="n">
        <v>12.414197</v>
      </c>
      <c r="I13" s="0" t="s">
        <v>17</v>
      </c>
      <c r="J13" s="1" t="s">
        <v>5</v>
      </c>
      <c r="K13" s="0" t="n">
        <v>6.916093</v>
      </c>
      <c r="L13" s="0" t="s">
        <v>12</v>
      </c>
      <c r="M13" s="1" t="s">
        <v>5</v>
      </c>
      <c r="N13" s="0" t="n">
        <v>33.789112</v>
      </c>
      <c r="O13" s="0" t="s">
        <v>44</v>
      </c>
      <c r="P13" s="1" t="s">
        <v>6</v>
      </c>
      <c r="Q13" s="0" t="n">
        <v>16.228512</v>
      </c>
      <c r="R13" s="0" t="s">
        <v>15</v>
      </c>
      <c r="S13" s="1" t="s">
        <v>6</v>
      </c>
      <c r="T13" s="0" t="s">
        <v>10</v>
      </c>
      <c r="U13" s="0" t="s">
        <v>2</v>
      </c>
      <c r="V13" s="0" t="s">
        <v>3</v>
      </c>
      <c r="W13" s="0" t="n">
        <v>28.160084</v>
      </c>
      <c r="X13" s="0" t="s">
        <v>46</v>
      </c>
      <c r="Y13" s="1" t="s">
        <v>6</v>
      </c>
      <c r="Z13" s="0" t="n">
        <v>28.492034</v>
      </c>
      <c r="AA13" s="0" t="s">
        <v>7</v>
      </c>
      <c r="AB13" s="1" t="s">
        <v>5</v>
      </c>
      <c r="AC13" s="0" t="n">
        <v>19.027993</v>
      </c>
      <c r="AD13" s="0" t="s">
        <v>46</v>
      </c>
      <c r="AE13" s="1" t="s">
        <v>6</v>
      </c>
      <c r="AF13" s="0" t="n">
        <v>20.605501</v>
      </c>
      <c r="AG13" s="0" t="s">
        <v>47</v>
      </c>
      <c r="AH13" s="1" t="s">
        <v>6</v>
      </c>
      <c r="AI13" s="0" t="n">
        <v>18.629612</v>
      </c>
      <c r="AJ13" s="0" t="s">
        <v>15</v>
      </c>
      <c r="AK13" s="1" t="s">
        <v>6</v>
      </c>
      <c r="AL13" s="0" t="s">
        <v>11</v>
      </c>
      <c r="AM13" s="0" t="s">
        <v>2</v>
      </c>
      <c r="AN13" s="0" t="s">
        <v>3</v>
      </c>
      <c r="AO13" s="0" t="n">
        <v>12.08933</v>
      </c>
      <c r="AP13" s="0" t="n">
        <v>0</v>
      </c>
      <c r="AQ13" s="0" t="n">
        <v>0</v>
      </c>
      <c r="AS13" s="2" t="str">
        <f aca="false">IF(AND(G13="true",J13="true",M13="true",P13="true",S13="true"),"true","false")</f>
        <v>false</v>
      </c>
      <c r="AT13" s="0" t="str">
        <f aca="false">IF(AND(Y13="true",AB13="true",AE13="true",AH13="true",AK13="true"),"true","false")</f>
        <v>false</v>
      </c>
    </row>
    <row r="14" customFormat="false" ht="12.8" hidden="false" customHeight="false" outlineLevel="0" collapsed="false">
      <c r="A14" s="0" t="s">
        <v>48</v>
      </c>
      <c r="B14" s="0" t="s">
        <v>1</v>
      </c>
      <c r="C14" s="0" t="s">
        <v>2</v>
      </c>
      <c r="D14" s="0" t="s">
        <v>3</v>
      </c>
      <c r="E14" s="0" t="n">
        <v>24.420656</v>
      </c>
      <c r="F14" s="0" t="s">
        <v>4</v>
      </c>
      <c r="G14" s="1" t="s">
        <v>5</v>
      </c>
      <c r="H14" s="0" t="n">
        <v>14.669546</v>
      </c>
      <c r="I14" s="0" t="s">
        <v>7</v>
      </c>
      <c r="J14" s="1" t="s">
        <v>5</v>
      </c>
      <c r="K14" s="0" t="n">
        <v>8.727071</v>
      </c>
      <c r="L14" s="0" t="s">
        <v>4</v>
      </c>
      <c r="M14" s="1" t="s">
        <v>5</v>
      </c>
      <c r="N14" s="0" t="n">
        <v>22.868123</v>
      </c>
      <c r="O14" s="0" t="s">
        <v>47</v>
      </c>
      <c r="P14" s="1" t="s">
        <v>6</v>
      </c>
      <c r="Q14" s="0" t="n">
        <v>32.682112</v>
      </c>
      <c r="R14" s="0" t="s">
        <v>9</v>
      </c>
      <c r="S14" s="1" t="s">
        <v>6</v>
      </c>
      <c r="T14" s="0" t="s">
        <v>10</v>
      </c>
      <c r="U14" s="0" t="s">
        <v>11</v>
      </c>
      <c r="V14" s="0" t="s">
        <v>3</v>
      </c>
      <c r="W14" s="0" t="n">
        <v>15.904146</v>
      </c>
      <c r="X14" s="0" t="s">
        <v>21</v>
      </c>
      <c r="Y14" s="1" t="s">
        <v>5</v>
      </c>
      <c r="Z14" s="0" t="n">
        <v>33.974774</v>
      </c>
      <c r="AA14" s="0" t="s">
        <v>17</v>
      </c>
      <c r="AB14" s="1" t="s">
        <v>5</v>
      </c>
      <c r="AC14" s="0" t="n">
        <v>5.81821</v>
      </c>
      <c r="AD14" s="0" t="s">
        <v>12</v>
      </c>
      <c r="AE14" s="1" t="s">
        <v>5</v>
      </c>
      <c r="AF14" s="0" t="n">
        <v>43.815933</v>
      </c>
      <c r="AG14" s="0" t="s">
        <v>22</v>
      </c>
      <c r="AH14" s="1" t="s">
        <v>6</v>
      </c>
      <c r="AI14" s="0" t="n">
        <v>14.521968</v>
      </c>
      <c r="AJ14" s="0" t="s">
        <v>15</v>
      </c>
      <c r="AK14" s="1" t="s">
        <v>5</v>
      </c>
      <c r="AL14" s="0" t="s">
        <v>2</v>
      </c>
      <c r="AM14" s="0" t="s">
        <v>11</v>
      </c>
      <c r="AN14" s="0" t="s">
        <v>3</v>
      </c>
      <c r="AO14" s="0" t="n">
        <v>73.36014</v>
      </c>
      <c r="AP14" s="0" t="n">
        <v>2</v>
      </c>
      <c r="AQ14" s="0" t="n">
        <v>0</v>
      </c>
      <c r="AR14" s="0" t="s">
        <v>49</v>
      </c>
      <c r="AS14" s="2" t="str">
        <f aca="false">IF(AND(G14="true",J14="true",M14="true",P14="true",S14="true"),"true","false")</f>
        <v>false</v>
      </c>
      <c r="AT14" s="0" t="str">
        <f aca="false">IF(AND(Y14="true",AB14="true",AE14="true",AH14="true",AK14="true"),"true","false")</f>
        <v>false</v>
      </c>
    </row>
    <row r="15" customFormat="false" ht="12.8" hidden="false" customHeight="false" outlineLevel="0" collapsed="false">
      <c r="A15" s="0" t="s">
        <v>50</v>
      </c>
      <c r="B15" s="0" t="s">
        <v>1</v>
      </c>
      <c r="C15" s="0" t="s">
        <v>2</v>
      </c>
      <c r="D15" s="0" t="s">
        <v>3</v>
      </c>
      <c r="E15" s="0" t="n">
        <v>752.174197</v>
      </c>
      <c r="F15" s="0" t="s">
        <v>4</v>
      </c>
      <c r="G15" s="1" t="s">
        <v>5</v>
      </c>
      <c r="H15" s="0" t="n">
        <v>8.519093</v>
      </c>
      <c r="I15" s="0" t="s">
        <v>7</v>
      </c>
      <c r="J15" s="1" t="s">
        <v>5</v>
      </c>
      <c r="K15" s="0" t="n">
        <v>8.446703</v>
      </c>
      <c r="L15" s="0" t="s">
        <v>4</v>
      </c>
      <c r="M15" s="1" t="s">
        <v>5</v>
      </c>
      <c r="N15" s="0" t="n">
        <v>12.319297</v>
      </c>
      <c r="O15" s="0" t="s">
        <v>8</v>
      </c>
      <c r="P15" s="1" t="s">
        <v>5</v>
      </c>
      <c r="Q15" s="0" t="n">
        <v>7.754247</v>
      </c>
      <c r="R15" s="0" t="s">
        <v>51</v>
      </c>
      <c r="S15" s="1" t="s">
        <v>5</v>
      </c>
      <c r="T15" s="0" t="s">
        <v>10</v>
      </c>
      <c r="U15" s="0" t="s">
        <v>11</v>
      </c>
      <c r="V15" s="0" t="s">
        <v>3</v>
      </c>
      <c r="W15" s="0" t="n">
        <v>10.846408</v>
      </c>
      <c r="X15" s="0" t="s">
        <v>21</v>
      </c>
      <c r="Y15" s="1" t="s">
        <v>5</v>
      </c>
      <c r="Z15" s="0" t="n">
        <v>7.300833</v>
      </c>
      <c r="AA15" s="0" t="s">
        <v>17</v>
      </c>
      <c r="AB15" s="1" t="s">
        <v>5</v>
      </c>
      <c r="AC15" s="0" t="n">
        <v>8.135384</v>
      </c>
      <c r="AD15" s="0" t="s">
        <v>12</v>
      </c>
      <c r="AE15" s="1" t="s">
        <v>5</v>
      </c>
      <c r="AF15" s="0" t="n">
        <v>23.103903</v>
      </c>
      <c r="AG15" s="0" t="s">
        <v>19</v>
      </c>
      <c r="AH15" s="1" t="s">
        <v>5</v>
      </c>
      <c r="AI15" s="0" t="n">
        <v>2.071143</v>
      </c>
      <c r="AJ15" s="0" t="s">
        <v>15</v>
      </c>
      <c r="AK15" s="1" t="s">
        <v>5</v>
      </c>
      <c r="AL15" s="0" t="s">
        <v>2</v>
      </c>
      <c r="AM15" s="0" t="s">
        <v>11</v>
      </c>
      <c r="AN15" s="0" t="s">
        <v>3</v>
      </c>
      <c r="AO15" s="0" t="n">
        <v>12.068401</v>
      </c>
      <c r="AP15" s="0" t="n">
        <v>1</v>
      </c>
      <c r="AQ15" s="0" t="n">
        <v>2</v>
      </c>
      <c r="AR15" s="0" t="s">
        <v>52</v>
      </c>
      <c r="AS15" s="2" t="str">
        <f aca="false">IF(AND(G15="true",J15="true",M15="true",P15="true",S15="true"),"true","false")</f>
        <v>true</v>
      </c>
      <c r="AT15" s="0" t="str">
        <f aca="false">IF(AND(Y15="true",AB15="true",AE15="true",AH15="true",AK15="true"),"true","false")</f>
        <v>true</v>
      </c>
    </row>
    <row r="16" customFormat="false" ht="12.8" hidden="false" customHeight="false" outlineLevel="0" collapsed="false">
      <c r="A16" s="0" t="s">
        <v>53</v>
      </c>
      <c r="B16" s="0" t="s">
        <v>1</v>
      </c>
      <c r="C16" s="0" t="s">
        <v>2</v>
      </c>
      <c r="D16" s="0" t="s">
        <v>3</v>
      </c>
      <c r="E16" s="0" t="n">
        <v>22.329356</v>
      </c>
      <c r="F16" s="0" t="s">
        <v>4</v>
      </c>
      <c r="G16" s="1" t="s">
        <v>5</v>
      </c>
      <c r="H16" s="0" t="n">
        <v>12.68665</v>
      </c>
      <c r="I16" s="0" t="s">
        <v>7</v>
      </c>
      <c r="J16" s="1" t="s">
        <v>5</v>
      </c>
      <c r="K16" s="0" t="n">
        <v>7.051665</v>
      </c>
      <c r="L16" s="0" t="s">
        <v>4</v>
      </c>
      <c r="M16" s="1" t="s">
        <v>5</v>
      </c>
      <c r="N16" s="0" t="n">
        <v>18.998948</v>
      </c>
      <c r="O16" s="0" t="s">
        <v>8</v>
      </c>
      <c r="P16" s="1" t="s">
        <v>5</v>
      </c>
      <c r="Q16" s="0" t="n">
        <v>17.156473</v>
      </c>
      <c r="R16" s="0" t="s">
        <v>15</v>
      </c>
      <c r="S16" s="1" t="s">
        <v>6</v>
      </c>
      <c r="T16" s="0" t="s">
        <v>10</v>
      </c>
      <c r="U16" s="0" t="s">
        <v>11</v>
      </c>
      <c r="V16" s="0" t="s">
        <v>3</v>
      </c>
      <c r="W16" s="0" t="n">
        <v>25.950689</v>
      </c>
      <c r="X16" s="0" t="s">
        <v>21</v>
      </c>
      <c r="Y16" s="1" t="s">
        <v>5</v>
      </c>
      <c r="Z16" s="0" t="n">
        <v>13.642854</v>
      </c>
      <c r="AA16" s="0" t="s">
        <v>17</v>
      </c>
      <c r="AB16" s="1" t="s">
        <v>5</v>
      </c>
      <c r="AC16" s="0" t="n">
        <v>9.426851</v>
      </c>
      <c r="AD16" s="0" t="s">
        <v>12</v>
      </c>
      <c r="AE16" s="1" t="s">
        <v>5</v>
      </c>
      <c r="AF16" s="0" t="n">
        <v>29.397643</v>
      </c>
      <c r="AG16" s="0" t="s">
        <v>22</v>
      </c>
      <c r="AH16" s="1" t="s">
        <v>6</v>
      </c>
      <c r="AI16" s="0" t="n">
        <v>12.167432</v>
      </c>
      <c r="AJ16" s="0" t="s">
        <v>15</v>
      </c>
      <c r="AK16" s="1" t="s">
        <v>5</v>
      </c>
      <c r="AL16" s="0" t="s">
        <v>2</v>
      </c>
      <c r="AM16" s="0" t="s">
        <v>11</v>
      </c>
      <c r="AN16" s="0" t="s">
        <v>3</v>
      </c>
      <c r="AO16" s="0" t="n">
        <v>7.567719</v>
      </c>
      <c r="AP16" s="0" t="n">
        <v>2</v>
      </c>
      <c r="AQ16" s="0" t="n">
        <v>1</v>
      </c>
      <c r="AS16" s="2" t="str">
        <f aca="false">IF(AND(G16="true",J16="true",M16="true",P16="true",S16="true"),"true","false")</f>
        <v>false</v>
      </c>
      <c r="AT16" s="0" t="str">
        <f aca="false">IF(AND(Y16="true",AB16="true",AE16="true",AH16="true",AK16="true"),"true","false")</f>
        <v>false</v>
      </c>
    </row>
    <row r="17" customFormat="false" ht="12.8" hidden="false" customHeight="false" outlineLevel="0" collapsed="false">
      <c r="A17" s="0" t="s">
        <v>54</v>
      </c>
      <c r="B17" s="0" t="s">
        <v>1</v>
      </c>
      <c r="C17" s="0" t="s">
        <v>2</v>
      </c>
      <c r="D17" s="0" t="s">
        <v>3</v>
      </c>
      <c r="E17" s="0" t="n">
        <v>14.366735</v>
      </c>
      <c r="F17" s="0" t="s">
        <v>4</v>
      </c>
      <c r="G17" s="1" t="s">
        <v>5</v>
      </c>
      <c r="H17" s="0" t="n">
        <v>7.526705</v>
      </c>
      <c r="I17" s="0" t="s">
        <v>7</v>
      </c>
      <c r="J17" s="1" t="s">
        <v>5</v>
      </c>
      <c r="K17" s="0" t="n">
        <v>2.577106</v>
      </c>
      <c r="L17" s="0" t="s">
        <v>4</v>
      </c>
      <c r="M17" s="1" t="s">
        <v>5</v>
      </c>
      <c r="N17" s="0" t="n">
        <v>16.892631</v>
      </c>
      <c r="O17" s="0" t="s">
        <v>8</v>
      </c>
      <c r="P17" s="1" t="s">
        <v>5</v>
      </c>
      <c r="Q17" s="0" t="n">
        <v>9.218188</v>
      </c>
      <c r="R17" s="0" t="s">
        <v>9</v>
      </c>
      <c r="S17" s="1" t="s">
        <v>6</v>
      </c>
      <c r="T17" s="0" t="s">
        <v>10</v>
      </c>
      <c r="U17" s="0" t="s">
        <v>11</v>
      </c>
      <c r="V17" s="0" t="s">
        <v>3</v>
      </c>
      <c r="W17" s="0" t="n">
        <v>13.915979</v>
      </c>
      <c r="X17" s="0" t="s">
        <v>21</v>
      </c>
      <c r="Y17" s="1" t="s">
        <v>5</v>
      </c>
      <c r="Z17" s="0" t="n">
        <v>6.827948</v>
      </c>
      <c r="AA17" s="0" t="s">
        <v>17</v>
      </c>
      <c r="AB17" s="1" t="s">
        <v>5</v>
      </c>
      <c r="AC17" s="0" t="n">
        <v>6.015879</v>
      </c>
      <c r="AD17" s="0" t="s">
        <v>12</v>
      </c>
      <c r="AE17" s="1" t="s">
        <v>5</v>
      </c>
      <c r="AF17" s="0" t="n">
        <v>24.638148</v>
      </c>
      <c r="AG17" s="0" t="s">
        <v>22</v>
      </c>
      <c r="AH17" s="1" t="s">
        <v>6</v>
      </c>
      <c r="AI17" s="0" t="n">
        <v>5.086044</v>
      </c>
      <c r="AJ17" s="0" t="s">
        <v>15</v>
      </c>
      <c r="AK17" s="1" t="s">
        <v>5</v>
      </c>
      <c r="AL17" s="0" t="s">
        <v>2</v>
      </c>
      <c r="AM17" s="0" t="s">
        <v>11</v>
      </c>
      <c r="AN17" s="0" t="s">
        <v>3</v>
      </c>
      <c r="AO17" s="0" t="n">
        <v>26.340224</v>
      </c>
      <c r="AP17" s="0" t="n">
        <v>1</v>
      </c>
      <c r="AQ17" s="0" t="n">
        <v>2</v>
      </c>
      <c r="AS17" s="2" t="str">
        <f aca="false">IF(AND(G17="true",J17="true",M17="true",P17="true",S17="true"),"true","false")</f>
        <v>false</v>
      </c>
      <c r="AT17" s="0" t="str">
        <f aca="false">IF(AND(Y17="true",AB17="true",AE17="true",AH17="true",AK17="true"),"true","false")</f>
        <v>false</v>
      </c>
    </row>
    <row r="18" customFormat="false" ht="12.8" hidden="false" customHeight="false" outlineLevel="0" collapsed="false">
      <c r="A18" s="0" t="s">
        <v>55</v>
      </c>
      <c r="B18" s="0" t="s">
        <v>1</v>
      </c>
      <c r="C18" s="0" t="s">
        <v>2</v>
      </c>
      <c r="D18" s="0" t="s">
        <v>3</v>
      </c>
      <c r="E18" s="0" t="n">
        <v>36.417236</v>
      </c>
      <c r="F18" s="0" t="s">
        <v>4</v>
      </c>
      <c r="G18" s="1" t="s">
        <v>5</v>
      </c>
      <c r="H18" s="0" t="n">
        <v>35.544207</v>
      </c>
      <c r="I18" s="0" t="s">
        <v>4</v>
      </c>
      <c r="J18" s="1" t="s">
        <v>6</v>
      </c>
      <c r="K18" s="0" t="n">
        <v>17.580112</v>
      </c>
      <c r="L18" s="0" t="s">
        <v>4</v>
      </c>
      <c r="M18" s="1" t="s">
        <v>5</v>
      </c>
      <c r="N18" s="0" t="n">
        <v>19.030605</v>
      </c>
      <c r="O18" s="0" t="s">
        <v>8</v>
      </c>
      <c r="P18" s="1" t="s">
        <v>5</v>
      </c>
      <c r="Q18" s="0" t="n">
        <v>27.898287</v>
      </c>
      <c r="R18" s="0" t="s">
        <v>15</v>
      </c>
      <c r="S18" s="1" t="s">
        <v>6</v>
      </c>
      <c r="T18" s="0" t="s">
        <v>10</v>
      </c>
      <c r="U18" s="0" t="s">
        <v>11</v>
      </c>
      <c r="V18" s="0" t="s">
        <v>3</v>
      </c>
      <c r="W18" s="0" t="n">
        <v>29.60218</v>
      </c>
      <c r="X18" s="0" t="s">
        <v>17</v>
      </c>
      <c r="Y18" s="1" t="s">
        <v>6</v>
      </c>
      <c r="Z18" s="0" t="n">
        <v>1.020157</v>
      </c>
      <c r="AA18" s="0" t="s">
        <v>56</v>
      </c>
      <c r="AB18" s="1" t="s">
        <v>6</v>
      </c>
      <c r="AC18" s="0" t="n">
        <v>0.869164</v>
      </c>
      <c r="AD18" s="0" t="s">
        <v>18</v>
      </c>
      <c r="AE18" s="1" t="s">
        <v>6</v>
      </c>
      <c r="AF18" s="0" t="n">
        <v>2.73235</v>
      </c>
      <c r="AG18" s="0" t="s">
        <v>19</v>
      </c>
      <c r="AH18" s="1" t="s">
        <v>5</v>
      </c>
      <c r="AI18" s="0" t="n">
        <v>2.448802</v>
      </c>
      <c r="AJ18" s="0" t="s">
        <v>15</v>
      </c>
      <c r="AK18" s="1" t="s">
        <v>5</v>
      </c>
      <c r="AL18" s="0" t="s">
        <v>2</v>
      </c>
      <c r="AM18" s="0" t="s">
        <v>11</v>
      </c>
      <c r="AN18" s="0" t="s">
        <v>3</v>
      </c>
      <c r="AO18" s="0" t="n">
        <v>5.680848</v>
      </c>
      <c r="AP18" s="0" t="n">
        <v>1</v>
      </c>
      <c r="AQ18" s="0" t="n">
        <v>1</v>
      </c>
      <c r="AS18" s="2" t="str">
        <f aca="false">IF(AND(G18="true",J18="true",M18="true",P18="true",S18="true"),"true","false")</f>
        <v>false</v>
      </c>
      <c r="AT18" s="0" t="str">
        <f aca="false">IF(AND(Y18="true",AB18="true",AE18="true",AH18="true",AK18="true"),"true","false")</f>
        <v>false</v>
      </c>
    </row>
    <row r="19" customFormat="false" ht="12.8" hidden="false" customHeight="false" outlineLevel="0" collapsed="false">
      <c r="A19" s="0" t="s">
        <v>57</v>
      </c>
      <c r="B19" s="0" t="s">
        <v>1</v>
      </c>
      <c r="C19" s="0" t="s">
        <v>11</v>
      </c>
      <c r="D19" s="0" t="s">
        <v>3</v>
      </c>
      <c r="E19" s="0" t="n">
        <v>18.740801</v>
      </c>
      <c r="F19" s="0" t="s">
        <v>21</v>
      </c>
      <c r="G19" s="1" t="s">
        <v>5</v>
      </c>
      <c r="H19" s="0" t="n">
        <v>13.346525</v>
      </c>
      <c r="I19" s="0" t="s">
        <v>17</v>
      </c>
      <c r="J19" s="1" t="s">
        <v>5</v>
      </c>
      <c r="K19" s="0" t="n">
        <v>6.192337</v>
      </c>
      <c r="L19" s="0" t="s">
        <v>12</v>
      </c>
      <c r="M19" s="1" t="s">
        <v>5</v>
      </c>
      <c r="N19" s="0" t="n">
        <v>46.003915</v>
      </c>
      <c r="O19" s="0" t="s">
        <v>19</v>
      </c>
      <c r="P19" s="1" t="s">
        <v>5</v>
      </c>
      <c r="Q19" s="0" t="n">
        <v>48.507488</v>
      </c>
      <c r="R19" s="0" t="s">
        <v>9</v>
      </c>
      <c r="S19" s="1" t="s">
        <v>6</v>
      </c>
      <c r="T19" s="0" t="s">
        <v>10</v>
      </c>
      <c r="U19" s="0" t="s">
        <v>2</v>
      </c>
      <c r="V19" s="0" t="s">
        <v>3</v>
      </c>
      <c r="W19" s="0" t="n">
        <v>50.735037</v>
      </c>
      <c r="X19" s="0" t="s">
        <v>4</v>
      </c>
      <c r="Y19" s="1" t="s">
        <v>5</v>
      </c>
      <c r="Z19" s="0" t="n">
        <v>13.838046</v>
      </c>
      <c r="AA19" s="0" t="s">
        <v>7</v>
      </c>
      <c r="AB19" s="1" t="s">
        <v>5</v>
      </c>
      <c r="AC19" s="0" t="n">
        <v>7.275739</v>
      </c>
      <c r="AD19" s="0" t="s">
        <v>4</v>
      </c>
      <c r="AE19" s="1" t="s">
        <v>5</v>
      </c>
      <c r="AF19" s="0" t="n">
        <v>17.757176</v>
      </c>
      <c r="AG19" s="0" t="s">
        <v>8</v>
      </c>
      <c r="AH19" s="1" t="s">
        <v>5</v>
      </c>
      <c r="AI19" s="0" t="n">
        <v>37.857388</v>
      </c>
      <c r="AJ19" s="0" t="s">
        <v>15</v>
      </c>
      <c r="AK19" s="1" t="s">
        <v>6</v>
      </c>
      <c r="AL19" s="0" t="s">
        <v>11</v>
      </c>
      <c r="AM19" s="0" t="s">
        <v>2</v>
      </c>
      <c r="AN19" s="0" t="s">
        <v>3</v>
      </c>
      <c r="AO19" s="0" t="n">
        <v>17.865319</v>
      </c>
      <c r="AP19" s="0" t="n">
        <v>1</v>
      </c>
      <c r="AQ19" s="0" t="n">
        <v>0</v>
      </c>
      <c r="AS19" s="2" t="str">
        <f aca="false">IF(AND(G19="true",J19="true",M19="true",P19="true",S19="true"),"true","false")</f>
        <v>false</v>
      </c>
      <c r="AT19" s="0" t="str">
        <f aca="false">IF(AND(Y19="true",AB19="true",AE19="true",AH19="true",AK19="true"),"true","false")</f>
        <v>false</v>
      </c>
    </row>
    <row r="20" customFormat="false" ht="12.8" hidden="false" customHeight="false" outlineLevel="0" collapsed="false">
      <c r="A20" s="0" t="s">
        <v>58</v>
      </c>
      <c r="B20" s="0" t="s">
        <v>1</v>
      </c>
      <c r="C20" s="0" t="s">
        <v>11</v>
      </c>
      <c r="D20" s="0" t="s">
        <v>3</v>
      </c>
      <c r="E20" s="0" t="n">
        <v>22.388168</v>
      </c>
      <c r="F20" s="0" t="s">
        <v>12</v>
      </c>
      <c r="G20" s="1" t="s">
        <v>6</v>
      </c>
      <c r="H20" s="0" t="n">
        <v>10.800945</v>
      </c>
      <c r="I20" s="0" t="s">
        <v>17</v>
      </c>
      <c r="J20" s="1" t="s">
        <v>5</v>
      </c>
      <c r="K20" s="0" t="n">
        <v>30.256338</v>
      </c>
      <c r="L20" s="0" t="s">
        <v>12</v>
      </c>
      <c r="M20" s="1" t="s">
        <v>5</v>
      </c>
      <c r="N20" s="0" t="n">
        <v>45.12651</v>
      </c>
      <c r="O20" s="0" t="s">
        <v>22</v>
      </c>
      <c r="P20" s="1" t="s">
        <v>6</v>
      </c>
      <c r="Q20" s="0" t="n">
        <v>52.897321</v>
      </c>
      <c r="R20" s="0" t="s">
        <v>9</v>
      </c>
      <c r="S20" s="1" t="s">
        <v>6</v>
      </c>
      <c r="T20" s="0" t="s">
        <v>10</v>
      </c>
      <c r="U20" s="0" t="s">
        <v>2</v>
      </c>
      <c r="V20" s="0" t="s">
        <v>3</v>
      </c>
      <c r="W20" s="0" t="n">
        <v>44.315932</v>
      </c>
      <c r="X20" s="0" t="s">
        <v>4</v>
      </c>
      <c r="Y20" s="1" t="s">
        <v>5</v>
      </c>
      <c r="Z20" s="0" t="n">
        <v>13.415693</v>
      </c>
      <c r="AA20" s="0" t="s">
        <v>7</v>
      </c>
      <c r="AB20" s="1" t="s">
        <v>5</v>
      </c>
      <c r="AC20" s="0" t="n">
        <v>5.792744</v>
      </c>
      <c r="AD20" s="0" t="s">
        <v>46</v>
      </c>
      <c r="AE20" s="1" t="s">
        <v>6</v>
      </c>
      <c r="AF20" s="0" t="n">
        <v>28.682819</v>
      </c>
      <c r="AG20" s="0" t="s">
        <v>8</v>
      </c>
      <c r="AH20" s="1" t="s">
        <v>5</v>
      </c>
      <c r="AI20" s="0" t="n">
        <v>52.301244</v>
      </c>
      <c r="AJ20" s="0" t="s">
        <v>15</v>
      </c>
      <c r="AK20" s="1" t="s">
        <v>6</v>
      </c>
      <c r="AL20" s="0" t="s">
        <v>11</v>
      </c>
      <c r="AM20" s="0" t="s">
        <v>2</v>
      </c>
      <c r="AN20" s="0" t="s">
        <v>3</v>
      </c>
      <c r="AO20" s="0" t="n">
        <v>7.451917</v>
      </c>
      <c r="AP20" s="0" t="n">
        <v>1</v>
      </c>
      <c r="AQ20" s="0" t="n">
        <v>1</v>
      </c>
      <c r="AS20" s="2" t="str">
        <f aca="false">IF(AND(G20="true",J20="true",M20="true",P20="true",S20="true"),"true","false")</f>
        <v>false</v>
      </c>
      <c r="AT20" s="0" t="str">
        <f aca="false">IF(AND(Y20="true",AB20="true",AE20="true",AH20="true",AK20="true"),"true","false")</f>
        <v>false</v>
      </c>
    </row>
    <row r="21" customFormat="false" ht="12.8" hidden="false" customHeight="false" outlineLevel="0" collapsed="false">
      <c r="A21" s="0" t="s">
        <v>59</v>
      </c>
      <c r="B21" s="0" t="s">
        <v>1</v>
      </c>
      <c r="C21" s="0" t="s">
        <v>2</v>
      </c>
      <c r="D21" s="0" t="s">
        <v>3</v>
      </c>
      <c r="E21" s="0" t="n">
        <v>10.646109</v>
      </c>
      <c r="F21" s="0" t="s">
        <v>4</v>
      </c>
      <c r="G21" s="1" t="s">
        <v>5</v>
      </c>
      <c r="H21" s="0" t="n">
        <v>4.943961</v>
      </c>
      <c r="I21" s="0" t="s">
        <v>7</v>
      </c>
      <c r="J21" s="1" t="s">
        <v>5</v>
      </c>
      <c r="K21" s="0" t="n">
        <v>6.237828</v>
      </c>
      <c r="L21" s="0" t="s">
        <v>4</v>
      </c>
      <c r="M21" s="1" t="s">
        <v>5</v>
      </c>
      <c r="N21" s="0" t="n">
        <v>13.684033</v>
      </c>
      <c r="O21" s="0" t="s">
        <v>8</v>
      </c>
      <c r="P21" s="1" t="s">
        <v>5</v>
      </c>
      <c r="Q21" s="0" t="n">
        <v>6.779193</v>
      </c>
      <c r="R21" s="0" t="s">
        <v>9</v>
      </c>
      <c r="S21" s="1" t="s">
        <v>6</v>
      </c>
      <c r="T21" s="0" t="s">
        <v>10</v>
      </c>
      <c r="U21" s="0" t="s">
        <v>11</v>
      </c>
      <c r="V21" s="0" t="s">
        <v>3</v>
      </c>
      <c r="W21" s="0" t="n">
        <v>21.745252</v>
      </c>
      <c r="X21" s="0" t="s">
        <v>21</v>
      </c>
      <c r="Y21" s="1" t="s">
        <v>5</v>
      </c>
      <c r="Z21" s="0" t="n">
        <v>11.674666</v>
      </c>
      <c r="AA21" s="0" t="s">
        <v>12</v>
      </c>
      <c r="AB21" s="1" t="s">
        <v>6</v>
      </c>
      <c r="AC21" s="0" t="n">
        <v>8.359973</v>
      </c>
      <c r="AD21" s="0" t="s">
        <v>12</v>
      </c>
      <c r="AE21" s="1" t="s">
        <v>5</v>
      </c>
      <c r="AF21" s="0" t="n">
        <v>22.037178</v>
      </c>
      <c r="AG21" s="0" t="s">
        <v>26</v>
      </c>
      <c r="AH21" s="1" t="s">
        <v>6</v>
      </c>
      <c r="AI21" s="0" t="n">
        <v>17.504379</v>
      </c>
      <c r="AJ21" s="0" t="s">
        <v>51</v>
      </c>
      <c r="AK21" s="1" t="s">
        <v>6</v>
      </c>
      <c r="AL21" s="0" t="s">
        <v>2</v>
      </c>
      <c r="AM21" s="0" t="s">
        <v>11</v>
      </c>
      <c r="AN21" s="0" t="s">
        <v>3</v>
      </c>
      <c r="AO21" s="0" t="n">
        <v>63.752344</v>
      </c>
      <c r="AP21" s="0" t="n">
        <v>2</v>
      </c>
      <c r="AQ21" s="0" t="n">
        <v>-1</v>
      </c>
      <c r="AR21" s="0" t="s">
        <v>60</v>
      </c>
      <c r="AS21" s="2" t="str">
        <f aca="false">IF(AND(G21="true",J21="true",M21="true",P21="true",S21="true"),"true","false")</f>
        <v>false</v>
      </c>
      <c r="AT21" s="0" t="str">
        <f aca="false">IF(AND(Y21="true",AB21="true",AE21="true",AH21="true",AK21="true"),"true","false")</f>
        <v>false</v>
      </c>
    </row>
    <row r="22" customFormat="false" ht="12.8" hidden="false" customHeight="false" outlineLevel="0" collapsed="false">
      <c r="A22" s="0" t="s">
        <v>61</v>
      </c>
      <c r="B22" s="0" t="s">
        <v>1</v>
      </c>
      <c r="C22" s="0" t="s">
        <v>11</v>
      </c>
      <c r="D22" s="0" t="s">
        <v>3</v>
      </c>
      <c r="E22" s="0" t="n">
        <v>28.774966</v>
      </c>
      <c r="F22" s="0" t="s">
        <v>21</v>
      </c>
      <c r="G22" s="1" t="s">
        <v>5</v>
      </c>
      <c r="H22" s="0" t="n">
        <v>35.036527</v>
      </c>
      <c r="I22" s="0" t="s">
        <v>17</v>
      </c>
      <c r="J22" s="1" t="s">
        <v>5</v>
      </c>
      <c r="K22" s="0" t="n">
        <v>7.267438</v>
      </c>
      <c r="L22" s="0" t="s">
        <v>12</v>
      </c>
      <c r="M22" s="1" t="s">
        <v>5</v>
      </c>
      <c r="N22" s="0" t="n">
        <v>48.283308</v>
      </c>
      <c r="O22" s="0" t="s">
        <v>22</v>
      </c>
      <c r="P22" s="1" t="s">
        <v>6</v>
      </c>
      <c r="Q22" s="0" t="n">
        <v>16.87505</v>
      </c>
      <c r="R22" s="0" t="s">
        <v>15</v>
      </c>
      <c r="S22" s="1" t="s">
        <v>6</v>
      </c>
      <c r="T22" s="0" t="s">
        <v>10</v>
      </c>
      <c r="U22" s="0" t="s">
        <v>2</v>
      </c>
      <c r="V22" s="0" t="s">
        <v>3</v>
      </c>
      <c r="W22" s="0" t="n">
        <v>95.151615</v>
      </c>
      <c r="X22" s="0" t="s">
        <v>40</v>
      </c>
      <c r="Y22" s="1" t="s">
        <v>6</v>
      </c>
      <c r="Z22" s="0" t="n">
        <v>29.687575</v>
      </c>
      <c r="AA22" s="0" t="s">
        <v>40</v>
      </c>
      <c r="AB22" s="1" t="s">
        <v>6</v>
      </c>
      <c r="AC22" s="0" t="n">
        <v>15.5549</v>
      </c>
      <c r="AE22" s="1" t="s">
        <v>6</v>
      </c>
      <c r="AF22" s="0" t="n">
        <v>47.285457</v>
      </c>
      <c r="AG22" s="0" t="s">
        <v>62</v>
      </c>
      <c r="AH22" s="1" t="s">
        <v>6</v>
      </c>
      <c r="AI22" s="0" t="n">
        <v>19.800807</v>
      </c>
      <c r="AJ22" s="0" t="s">
        <v>15</v>
      </c>
      <c r="AK22" s="1" t="s">
        <v>6</v>
      </c>
      <c r="AL22" s="0" t="s">
        <v>11</v>
      </c>
      <c r="AM22" s="0" t="s">
        <v>2</v>
      </c>
      <c r="AN22" s="0" t="s">
        <v>3</v>
      </c>
      <c r="AO22" s="0" t="n">
        <v>52.416944</v>
      </c>
      <c r="AP22" s="0" t="n">
        <v>1</v>
      </c>
      <c r="AQ22" s="0" t="n">
        <v>0</v>
      </c>
      <c r="AR22" s="0" t="s">
        <v>63</v>
      </c>
      <c r="AS22" s="2" t="str">
        <f aca="false">IF(AND(G22="true",J22="true",M22="true",P22="true",S22="true"),"true","false")</f>
        <v>false</v>
      </c>
      <c r="AT22" s="0" t="str">
        <f aca="false">IF(AND(Y22="true",AB22="true",AE22="true",AH22="true",AK22="true"),"true","false")</f>
        <v>false</v>
      </c>
    </row>
    <row r="23" customFormat="false" ht="12.8" hidden="false" customHeight="false" outlineLevel="0" collapsed="false">
      <c r="A23" s="0" t="s">
        <v>64</v>
      </c>
      <c r="B23" s="0" t="s">
        <v>1</v>
      </c>
      <c r="C23" s="0" t="s">
        <v>2</v>
      </c>
      <c r="D23" s="0" t="s">
        <v>3</v>
      </c>
      <c r="E23" s="0" t="n">
        <v>35.451832</v>
      </c>
      <c r="F23" s="0" t="s">
        <v>7</v>
      </c>
      <c r="G23" s="1" t="s">
        <v>6</v>
      </c>
      <c r="H23" s="0" t="n">
        <v>21.175062</v>
      </c>
      <c r="I23" s="0" t="s">
        <v>7</v>
      </c>
      <c r="J23" s="1" t="s">
        <v>5</v>
      </c>
      <c r="K23" s="0" t="n">
        <v>11.327226</v>
      </c>
      <c r="L23" s="0" t="s">
        <v>46</v>
      </c>
      <c r="M23" s="1" t="s">
        <v>6</v>
      </c>
      <c r="N23" s="0" t="n">
        <v>12.513529</v>
      </c>
      <c r="O23" s="0" t="s">
        <v>47</v>
      </c>
      <c r="P23" s="1" t="s">
        <v>6</v>
      </c>
      <c r="Q23" s="0" t="n">
        <v>21.769395</v>
      </c>
      <c r="R23" s="0" t="s">
        <v>9</v>
      </c>
      <c r="S23" s="1" t="s">
        <v>6</v>
      </c>
      <c r="T23" s="0" t="s">
        <v>10</v>
      </c>
      <c r="U23" s="0" t="s">
        <v>11</v>
      </c>
      <c r="V23" s="0" t="s">
        <v>3</v>
      </c>
      <c r="W23" s="0" t="n">
        <v>42.78727</v>
      </c>
      <c r="X23" s="0" t="s">
        <v>13</v>
      </c>
      <c r="Y23" s="1" t="s">
        <v>6</v>
      </c>
      <c r="Z23" s="0" t="n">
        <v>19.674993</v>
      </c>
      <c r="AA23" s="0" t="s">
        <v>17</v>
      </c>
      <c r="AB23" s="1" t="s">
        <v>5</v>
      </c>
      <c r="AC23" s="0" t="n">
        <v>11.477926</v>
      </c>
      <c r="AD23" s="0" t="s">
        <v>18</v>
      </c>
      <c r="AE23" s="1" t="s">
        <v>6</v>
      </c>
      <c r="AF23" s="0" t="n">
        <v>23.089712</v>
      </c>
      <c r="AG23" s="0" t="s">
        <v>65</v>
      </c>
      <c r="AH23" s="1" t="s">
        <v>6</v>
      </c>
      <c r="AI23" s="0" t="n">
        <v>16.975039</v>
      </c>
      <c r="AJ23" s="0" t="s">
        <v>15</v>
      </c>
      <c r="AK23" s="1" t="s">
        <v>5</v>
      </c>
      <c r="AL23" s="0" t="s">
        <v>2</v>
      </c>
      <c r="AM23" s="0" t="s">
        <v>11</v>
      </c>
      <c r="AN23" s="0" t="s">
        <v>3</v>
      </c>
      <c r="AO23" s="0" t="n">
        <v>44.996866</v>
      </c>
      <c r="AP23" s="0" t="n">
        <v>-1</v>
      </c>
      <c r="AQ23" s="0" t="n">
        <v>-1</v>
      </c>
      <c r="AR23" s="0" t="s">
        <v>66</v>
      </c>
      <c r="AS23" s="2" t="str">
        <f aca="false">IF(AND(G23="true",J23="true",M23="true",P23="true",S23="true"),"true","false")</f>
        <v>false</v>
      </c>
      <c r="AT23" s="0" t="str">
        <f aca="false">IF(AND(Y23="true",AB23="true",AE23="true",AH23="true",AK23="true"),"true","false")</f>
        <v>false</v>
      </c>
    </row>
    <row r="24" customFormat="false" ht="23.85" hidden="false" customHeight="false" outlineLevel="0" collapsed="false">
      <c r="A24" s="0" t="s">
        <v>67</v>
      </c>
      <c r="B24" s="0" t="s">
        <v>1</v>
      </c>
      <c r="C24" s="0" t="s">
        <v>2</v>
      </c>
      <c r="D24" s="0" t="s">
        <v>3</v>
      </c>
      <c r="E24" s="0" t="n">
        <v>14.407375</v>
      </c>
      <c r="F24" s="0" t="s">
        <v>7</v>
      </c>
      <c r="G24" s="1" t="s">
        <v>6</v>
      </c>
      <c r="H24" s="0" t="n">
        <v>19.262887</v>
      </c>
      <c r="I24" s="0" t="s">
        <v>4</v>
      </c>
      <c r="J24" s="1" t="s">
        <v>6</v>
      </c>
      <c r="K24" s="0" t="n">
        <v>11.656385</v>
      </c>
      <c r="L24" s="0" t="s">
        <v>4</v>
      </c>
      <c r="M24" s="1" t="s">
        <v>5</v>
      </c>
      <c r="N24" s="0" t="n">
        <v>10.932594</v>
      </c>
      <c r="O24" s="0" t="s">
        <v>47</v>
      </c>
      <c r="P24" s="1" t="s">
        <v>6</v>
      </c>
      <c r="Q24" s="0" t="n">
        <v>10.870609</v>
      </c>
      <c r="R24" s="0" t="s">
        <v>15</v>
      </c>
      <c r="S24" s="1" t="s">
        <v>6</v>
      </c>
      <c r="T24" s="0" t="s">
        <v>10</v>
      </c>
      <c r="U24" s="0" t="s">
        <v>11</v>
      </c>
      <c r="V24" s="0" t="s">
        <v>3</v>
      </c>
      <c r="W24" s="0" t="n">
        <v>10.875191</v>
      </c>
      <c r="X24" s="0" t="s">
        <v>18</v>
      </c>
      <c r="Y24" s="1" t="s">
        <v>6</v>
      </c>
      <c r="Z24" s="0" t="n">
        <v>20.714458</v>
      </c>
      <c r="AA24" s="0" t="s">
        <v>12</v>
      </c>
      <c r="AB24" s="1" t="s">
        <v>6</v>
      </c>
      <c r="AC24" s="0" t="n">
        <v>14.451549</v>
      </c>
      <c r="AD24" s="0" t="s">
        <v>56</v>
      </c>
      <c r="AE24" s="1" t="s">
        <v>6</v>
      </c>
      <c r="AF24" s="0" t="n">
        <v>14.15916</v>
      </c>
      <c r="AG24" s="0" t="s">
        <v>47</v>
      </c>
      <c r="AH24" s="1" t="s">
        <v>6</v>
      </c>
      <c r="AI24" s="0" t="n">
        <v>5.393828</v>
      </c>
      <c r="AJ24" s="0" t="s">
        <v>15</v>
      </c>
      <c r="AK24" s="1" t="s">
        <v>5</v>
      </c>
      <c r="AL24" s="0" t="s">
        <v>2</v>
      </c>
      <c r="AM24" s="0" t="s">
        <v>11</v>
      </c>
      <c r="AN24" s="0" t="s">
        <v>3</v>
      </c>
      <c r="AO24" s="0" t="n">
        <v>33.352216</v>
      </c>
      <c r="AP24" s="0" t="n">
        <v>1</v>
      </c>
      <c r="AQ24" s="0" t="n">
        <v>-1</v>
      </c>
      <c r="AR24" s="3" t="s">
        <v>68</v>
      </c>
      <c r="AS24" s="2" t="str">
        <f aca="false">IF(AND(G24="true",J24="true",M24="true",P24="true",S24="true"),"true","false")</f>
        <v>false</v>
      </c>
      <c r="AT24" s="0" t="str">
        <f aca="false">IF(AND(Y24="true",AB24="true",AE24="true",AH24="true",AK24="true"),"true","false")</f>
        <v>false</v>
      </c>
    </row>
    <row r="25" customFormat="false" ht="12.8" hidden="false" customHeight="false" outlineLevel="0" collapsed="false">
      <c r="A25" s="0" t="s">
        <v>69</v>
      </c>
      <c r="B25" s="0" t="s">
        <v>1</v>
      </c>
      <c r="C25" s="0" t="s">
        <v>11</v>
      </c>
      <c r="D25" s="0" t="s">
        <v>3</v>
      </c>
      <c r="E25" s="0" t="n">
        <v>27.268039</v>
      </c>
      <c r="F25" s="0" t="s">
        <v>21</v>
      </c>
      <c r="G25" s="1" t="s">
        <v>5</v>
      </c>
      <c r="H25" s="0" t="n">
        <v>8.484017</v>
      </c>
      <c r="I25" s="0" t="s">
        <v>21</v>
      </c>
      <c r="J25" s="1" t="s">
        <v>6</v>
      </c>
      <c r="K25" s="0" t="n">
        <v>17.589809</v>
      </c>
      <c r="L25" s="0" t="s">
        <v>12</v>
      </c>
      <c r="M25" s="1" t="s">
        <v>5</v>
      </c>
      <c r="N25" s="0" t="n">
        <v>32.569759</v>
      </c>
      <c r="O25" s="0" t="s">
        <v>70</v>
      </c>
      <c r="P25" s="1" t="s">
        <v>6</v>
      </c>
      <c r="Q25" s="0" t="n">
        <v>16.17566</v>
      </c>
      <c r="R25" s="0" t="s">
        <v>15</v>
      </c>
      <c r="S25" s="1" t="s">
        <v>6</v>
      </c>
      <c r="T25" s="0" t="s">
        <v>10</v>
      </c>
      <c r="U25" s="0" t="s">
        <v>2</v>
      </c>
      <c r="V25" s="0" t="s">
        <v>3</v>
      </c>
      <c r="W25" s="0" t="n">
        <v>449.787767</v>
      </c>
      <c r="X25" s="0" t="s">
        <v>4</v>
      </c>
      <c r="Y25" s="1" t="s">
        <v>5</v>
      </c>
      <c r="Z25" s="0" t="n">
        <v>12.412584</v>
      </c>
      <c r="AB25" s="1" t="s">
        <v>6</v>
      </c>
      <c r="AC25" s="0" t="n">
        <v>9.641798</v>
      </c>
      <c r="AD25" s="0" t="s">
        <v>46</v>
      </c>
      <c r="AE25" s="1" t="s">
        <v>6</v>
      </c>
      <c r="AF25" s="0" t="n">
        <v>15.253813</v>
      </c>
      <c r="AG25" s="0" t="s">
        <v>71</v>
      </c>
      <c r="AH25" s="1" t="s">
        <v>6</v>
      </c>
      <c r="AI25" s="0" t="n">
        <v>18.279274</v>
      </c>
      <c r="AJ25" s="0" t="s">
        <v>9</v>
      </c>
      <c r="AK25" s="1" t="s">
        <v>5</v>
      </c>
      <c r="AL25" s="0" t="s">
        <v>11</v>
      </c>
      <c r="AM25" s="0" t="s">
        <v>2</v>
      </c>
      <c r="AN25" s="0" t="s">
        <v>3</v>
      </c>
      <c r="AO25" s="0" t="n">
        <v>13.309408</v>
      </c>
      <c r="AP25" s="0" t="n">
        <v>-1</v>
      </c>
      <c r="AQ25" s="0" t="n">
        <v>1</v>
      </c>
      <c r="AS25" s="2" t="str">
        <f aca="false">IF(AND(G25="true",J25="true",M25="true",P25="true",S25="true"),"true","false")</f>
        <v>false</v>
      </c>
      <c r="AT25" s="0" t="str">
        <f aca="false">IF(AND(Y25="true",AB25="true",AE25="true",AH25="true",AK25="true"),"true","false")</f>
        <v>false</v>
      </c>
    </row>
    <row r="26" customFormat="false" ht="12.8" hidden="false" customHeight="false" outlineLevel="0" collapsed="false">
      <c r="A26" s="0" t="s">
        <v>72</v>
      </c>
      <c r="B26" s="0" t="s">
        <v>1</v>
      </c>
      <c r="C26" s="0" t="s">
        <v>2</v>
      </c>
      <c r="D26" s="0" t="s">
        <v>3</v>
      </c>
      <c r="E26" s="0" t="n">
        <v>28.65092</v>
      </c>
      <c r="F26" s="0" t="s">
        <v>4</v>
      </c>
      <c r="G26" s="1" t="s">
        <v>5</v>
      </c>
      <c r="H26" s="0" t="n">
        <v>11.32238</v>
      </c>
      <c r="I26" s="0" t="s">
        <v>7</v>
      </c>
      <c r="J26" s="1" t="s">
        <v>5</v>
      </c>
      <c r="K26" s="0" t="n">
        <v>6.785097</v>
      </c>
      <c r="L26" s="0" t="s">
        <v>4</v>
      </c>
      <c r="M26" s="1" t="s">
        <v>5</v>
      </c>
      <c r="N26" s="0" t="n">
        <v>22.614474</v>
      </c>
      <c r="O26" s="0" t="s">
        <v>8</v>
      </c>
      <c r="P26" s="1" t="s">
        <v>5</v>
      </c>
      <c r="Q26" s="0" t="n">
        <v>48.603064</v>
      </c>
      <c r="R26" s="0" t="s">
        <v>9</v>
      </c>
      <c r="S26" s="1" t="s">
        <v>6</v>
      </c>
      <c r="T26" s="0" t="s">
        <v>10</v>
      </c>
      <c r="U26" s="0" t="s">
        <v>11</v>
      </c>
      <c r="V26" s="0" t="s">
        <v>3</v>
      </c>
      <c r="W26" s="0" t="n">
        <v>21.021396</v>
      </c>
      <c r="X26" s="0" t="s">
        <v>21</v>
      </c>
      <c r="Y26" s="1" t="s">
        <v>5</v>
      </c>
      <c r="Z26" s="0" t="n">
        <v>22.15392</v>
      </c>
      <c r="AA26" s="0" t="s">
        <v>17</v>
      </c>
      <c r="AB26" s="1" t="s">
        <v>5</v>
      </c>
      <c r="AC26" s="0" t="n">
        <v>8.278128</v>
      </c>
      <c r="AD26" s="0" t="s">
        <v>12</v>
      </c>
      <c r="AE26" s="1" t="s">
        <v>5</v>
      </c>
      <c r="AF26" s="0" t="n">
        <v>28.779176</v>
      </c>
      <c r="AG26" s="0" t="s">
        <v>19</v>
      </c>
      <c r="AH26" s="1" t="s">
        <v>5</v>
      </c>
      <c r="AI26" s="0" t="n">
        <v>30.691077</v>
      </c>
      <c r="AJ26" s="0" t="s">
        <v>15</v>
      </c>
      <c r="AK26" s="1" t="s">
        <v>5</v>
      </c>
      <c r="AL26" s="0" t="s">
        <v>2</v>
      </c>
      <c r="AM26" s="0" t="s">
        <v>11</v>
      </c>
      <c r="AN26" s="0" t="s">
        <v>3</v>
      </c>
      <c r="AO26" s="0" t="n">
        <v>97.290671</v>
      </c>
      <c r="AP26" s="0" t="n">
        <v>0</v>
      </c>
      <c r="AQ26" s="0" t="n">
        <v>1</v>
      </c>
      <c r="AR26" s="0" t="s">
        <v>73</v>
      </c>
      <c r="AS26" s="2" t="str">
        <f aca="false">IF(AND(G26="true",J26="true",M26="true",P26="true",S26="true"),"true","false")</f>
        <v>false</v>
      </c>
      <c r="AT26" s="0" t="str">
        <f aca="false">IF(AND(Y26="true",AB26="true",AE26="true",AH26="true",AK26="true"),"true","false")</f>
        <v>true</v>
      </c>
    </row>
    <row r="27" customFormat="false" ht="12.8" hidden="false" customHeight="false" outlineLevel="0" collapsed="false">
      <c r="A27" s="0" t="s">
        <v>74</v>
      </c>
      <c r="B27" s="0" t="s">
        <v>1</v>
      </c>
      <c r="C27" s="0" t="s">
        <v>11</v>
      </c>
      <c r="D27" s="0" t="s">
        <v>3</v>
      </c>
      <c r="E27" s="0" t="n">
        <v>24.457484</v>
      </c>
      <c r="F27" s="0" t="s">
        <v>21</v>
      </c>
      <c r="G27" s="1" t="s">
        <v>5</v>
      </c>
      <c r="H27" s="0" t="n">
        <v>21.707864</v>
      </c>
      <c r="I27" s="0" t="s">
        <v>17</v>
      </c>
      <c r="J27" s="1" t="s">
        <v>5</v>
      </c>
      <c r="K27" s="0" t="n">
        <v>6.426139</v>
      </c>
      <c r="L27" s="0" t="s">
        <v>12</v>
      </c>
      <c r="M27" s="1" t="s">
        <v>5</v>
      </c>
      <c r="N27" s="0" t="n">
        <v>29.576189</v>
      </c>
      <c r="O27" s="0" t="s">
        <v>22</v>
      </c>
      <c r="P27" s="1" t="s">
        <v>6</v>
      </c>
      <c r="Q27" s="0" t="n">
        <v>34.896346</v>
      </c>
      <c r="R27" s="0" t="s">
        <v>9</v>
      </c>
      <c r="S27" s="1" t="s">
        <v>6</v>
      </c>
      <c r="T27" s="0" t="s">
        <v>10</v>
      </c>
      <c r="U27" s="0" t="s">
        <v>2</v>
      </c>
      <c r="V27" s="0" t="s">
        <v>3</v>
      </c>
      <c r="W27" s="0" t="n">
        <v>41.712371</v>
      </c>
      <c r="X27" s="0" t="s">
        <v>4</v>
      </c>
      <c r="Y27" s="1" t="s">
        <v>5</v>
      </c>
      <c r="Z27" s="0" t="n">
        <v>21.297854</v>
      </c>
      <c r="AA27" s="0" t="s">
        <v>7</v>
      </c>
      <c r="AB27" s="1" t="s">
        <v>5</v>
      </c>
      <c r="AC27" s="0" t="n">
        <v>11.409629</v>
      </c>
      <c r="AD27" s="0" t="s">
        <v>4</v>
      </c>
      <c r="AE27" s="1" t="s">
        <v>5</v>
      </c>
      <c r="AF27" s="0" t="n">
        <v>32.266786</v>
      </c>
      <c r="AG27" s="0" t="s">
        <v>75</v>
      </c>
      <c r="AH27" s="1" t="s">
        <v>6</v>
      </c>
      <c r="AI27" s="0" t="n">
        <v>40.07122</v>
      </c>
      <c r="AJ27" s="0" t="s">
        <v>51</v>
      </c>
      <c r="AK27" s="1" t="s">
        <v>6</v>
      </c>
      <c r="AL27" s="0" t="s">
        <v>11</v>
      </c>
      <c r="AM27" s="0" t="s">
        <v>2</v>
      </c>
      <c r="AN27" s="0" t="s">
        <v>3</v>
      </c>
      <c r="AO27" s="0" t="n">
        <v>30.397876</v>
      </c>
      <c r="AP27" s="0" t="n">
        <v>2</v>
      </c>
      <c r="AQ27" s="0" t="n">
        <v>-2</v>
      </c>
      <c r="AS27" s="2" t="str">
        <f aca="false">IF(AND(G27="true",J27="true",M27="true",P27="true",S27="true"),"true","false")</f>
        <v>false</v>
      </c>
      <c r="AT27" s="0" t="str">
        <f aca="false">IF(AND(Y27="true",AB27="true",AE27="true",AH27="true",AK27="true"),"true","false")</f>
        <v>false</v>
      </c>
    </row>
    <row r="28" customFormat="false" ht="12.8" hidden="false" customHeight="false" outlineLevel="0" collapsed="false">
      <c r="A28" s="0" t="s">
        <v>76</v>
      </c>
      <c r="B28" s="0" t="s">
        <v>1</v>
      </c>
      <c r="C28" s="0" t="s">
        <v>11</v>
      </c>
      <c r="D28" s="0" t="s">
        <v>3</v>
      </c>
      <c r="E28" s="0" t="n">
        <v>16.784983</v>
      </c>
      <c r="F28" s="0" t="s">
        <v>12</v>
      </c>
      <c r="G28" s="1" t="s">
        <v>6</v>
      </c>
      <c r="H28" s="0" t="n">
        <v>6.087746</v>
      </c>
      <c r="I28" s="0" t="s">
        <v>17</v>
      </c>
      <c r="J28" s="1" t="s">
        <v>5</v>
      </c>
      <c r="K28" s="0" t="n">
        <v>5.50984</v>
      </c>
      <c r="L28" s="0" t="s">
        <v>12</v>
      </c>
      <c r="M28" s="1" t="s">
        <v>5</v>
      </c>
      <c r="N28" s="0" t="n">
        <v>24.384853</v>
      </c>
      <c r="O28" s="0" t="s">
        <v>19</v>
      </c>
      <c r="P28" s="1" t="s">
        <v>5</v>
      </c>
      <c r="Q28" s="0" t="n">
        <v>26.502595</v>
      </c>
      <c r="R28" s="0" t="s">
        <v>15</v>
      </c>
      <c r="S28" s="1" t="s">
        <v>6</v>
      </c>
      <c r="T28" s="0" t="s">
        <v>10</v>
      </c>
      <c r="U28" s="0" t="s">
        <v>2</v>
      </c>
      <c r="V28" s="0" t="s">
        <v>3</v>
      </c>
      <c r="W28" s="0" t="n">
        <v>38.012643</v>
      </c>
      <c r="X28" s="0" t="s">
        <v>4</v>
      </c>
      <c r="Y28" s="1" t="s">
        <v>5</v>
      </c>
      <c r="Z28" s="0" t="n">
        <v>22.893523</v>
      </c>
      <c r="AA28" s="0" t="s">
        <v>46</v>
      </c>
      <c r="AB28" s="1" t="s">
        <v>6</v>
      </c>
      <c r="AC28" s="0" t="n">
        <v>3.755848</v>
      </c>
      <c r="AE28" s="1" t="s">
        <v>6</v>
      </c>
      <c r="AF28" s="0" t="n">
        <v>35.50933</v>
      </c>
      <c r="AG28" s="0" t="s">
        <v>8</v>
      </c>
      <c r="AH28" s="1" t="s">
        <v>5</v>
      </c>
      <c r="AI28" s="0" t="n">
        <v>17.253133</v>
      </c>
      <c r="AJ28" s="0" t="s">
        <v>15</v>
      </c>
      <c r="AK28" s="1" t="s">
        <v>6</v>
      </c>
      <c r="AL28" s="0" t="s">
        <v>11</v>
      </c>
      <c r="AM28" s="0" t="s">
        <v>2</v>
      </c>
      <c r="AN28" s="0" t="s">
        <v>3</v>
      </c>
      <c r="AO28" s="0" t="n">
        <v>11.611721</v>
      </c>
      <c r="AP28" s="0" t="n">
        <v>1</v>
      </c>
      <c r="AQ28" s="0" t="n">
        <v>0</v>
      </c>
      <c r="AS28" s="2" t="str">
        <f aca="false">IF(AND(G28="true",J28="true",M28="true",P28="true",S28="true"),"true","false")</f>
        <v>false</v>
      </c>
      <c r="AT28" s="0" t="str">
        <f aca="false">IF(AND(Y28="true",AB28="true",AE28="true",AH28="true",AK28="true"),"true","false")</f>
        <v>false</v>
      </c>
    </row>
    <row r="29" customFormat="false" ht="12.8" hidden="false" customHeight="false" outlineLevel="0" collapsed="false">
      <c r="A29" s="0" t="s">
        <v>77</v>
      </c>
      <c r="B29" s="0" t="s">
        <v>1</v>
      </c>
      <c r="C29" s="0" t="s">
        <v>2</v>
      </c>
      <c r="D29" s="0" t="s">
        <v>3</v>
      </c>
      <c r="E29" s="0" t="n">
        <v>27.950299</v>
      </c>
      <c r="F29" s="0" t="s">
        <v>4</v>
      </c>
      <c r="G29" s="1" t="s">
        <v>5</v>
      </c>
      <c r="H29" s="0" t="n">
        <v>21.728274</v>
      </c>
      <c r="I29" s="0" t="s">
        <v>7</v>
      </c>
      <c r="J29" s="1" t="s">
        <v>5</v>
      </c>
      <c r="K29" s="0" t="n">
        <v>9.716066</v>
      </c>
      <c r="L29" s="0" t="s">
        <v>4</v>
      </c>
      <c r="M29" s="1" t="s">
        <v>5</v>
      </c>
      <c r="N29" s="0" t="n">
        <v>27.928232</v>
      </c>
      <c r="O29" s="0" t="s">
        <v>8</v>
      </c>
      <c r="P29" s="1" t="s">
        <v>5</v>
      </c>
      <c r="Q29" s="0" t="n">
        <v>31.738011</v>
      </c>
      <c r="R29" s="0" t="s">
        <v>15</v>
      </c>
      <c r="S29" s="1" t="s">
        <v>6</v>
      </c>
      <c r="T29" s="0" t="s">
        <v>10</v>
      </c>
      <c r="U29" s="0" t="s">
        <v>11</v>
      </c>
      <c r="V29" s="0" t="s">
        <v>3</v>
      </c>
      <c r="W29" s="0" t="n">
        <v>26.984346</v>
      </c>
      <c r="X29" s="0" t="s">
        <v>21</v>
      </c>
      <c r="Y29" s="1" t="s">
        <v>5</v>
      </c>
      <c r="Z29" s="0" t="n">
        <v>18.299009</v>
      </c>
      <c r="AA29" s="0" t="s">
        <v>17</v>
      </c>
      <c r="AB29" s="1" t="s">
        <v>5</v>
      </c>
      <c r="AC29" s="0" t="n">
        <v>10.813249</v>
      </c>
      <c r="AD29" s="0" t="s">
        <v>12</v>
      </c>
      <c r="AE29" s="1" t="s">
        <v>5</v>
      </c>
      <c r="AF29" s="0" t="n">
        <v>60.869896</v>
      </c>
      <c r="AG29" s="0" t="s">
        <v>22</v>
      </c>
      <c r="AH29" s="1" t="s">
        <v>6</v>
      </c>
      <c r="AI29" s="0" t="n">
        <v>19.989385</v>
      </c>
      <c r="AJ29" s="0" t="s">
        <v>15</v>
      </c>
      <c r="AK29" s="1" t="s">
        <v>5</v>
      </c>
      <c r="AL29" s="0" t="s">
        <v>2</v>
      </c>
      <c r="AM29" s="0" t="s">
        <v>11</v>
      </c>
      <c r="AN29" s="0" t="s">
        <v>3</v>
      </c>
      <c r="AO29" s="0" t="n">
        <v>55.422463</v>
      </c>
      <c r="AP29" s="0" t="n">
        <v>2</v>
      </c>
      <c r="AQ29" s="0" t="n">
        <v>2</v>
      </c>
      <c r="AS29" s="2" t="str">
        <f aca="false">IF(AND(G29="true",J29="true",M29="true",P29="true",S29="true"),"true","false")</f>
        <v>false</v>
      </c>
      <c r="AT29" s="0" t="str">
        <f aca="false">IF(AND(Y29="true",AB29="true",AE29="true",AH29="true",AK29="true"),"true","false")</f>
        <v>false</v>
      </c>
    </row>
    <row r="30" customFormat="false" ht="12.8" hidden="false" customHeight="false" outlineLevel="0" collapsed="false">
      <c r="A30" s="0" t="s">
        <v>78</v>
      </c>
      <c r="B30" s="0" t="s">
        <v>1</v>
      </c>
      <c r="C30" s="0" t="s">
        <v>2</v>
      </c>
      <c r="D30" s="0" t="s">
        <v>3</v>
      </c>
      <c r="E30" s="0" t="n">
        <v>56.045402</v>
      </c>
      <c r="F30" s="0" t="s">
        <v>4</v>
      </c>
      <c r="G30" s="1" t="s">
        <v>5</v>
      </c>
      <c r="H30" s="0" t="n">
        <v>38.306199</v>
      </c>
      <c r="I30" s="0" t="s">
        <v>4</v>
      </c>
      <c r="J30" s="1" t="s">
        <v>6</v>
      </c>
      <c r="K30" s="0" t="n">
        <v>16.809225</v>
      </c>
      <c r="L30" s="0" t="s">
        <v>4</v>
      </c>
      <c r="M30" s="1" t="s">
        <v>5</v>
      </c>
      <c r="N30" s="0" t="n">
        <v>23.651339</v>
      </c>
      <c r="O30" s="0" t="s">
        <v>8</v>
      </c>
      <c r="P30" s="1" t="s">
        <v>5</v>
      </c>
      <c r="Q30" s="0" t="n">
        <v>15.367342</v>
      </c>
      <c r="R30" s="0" t="s">
        <v>9</v>
      </c>
      <c r="S30" s="1" t="s">
        <v>6</v>
      </c>
      <c r="T30" s="0" t="s">
        <v>10</v>
      </c>
      <c r="U30" s="0" t="s">
        <v>11</v>
      </c>
      <c r="V30" s="0" t="s">
        <v>3</v>
      </c>
      <c r="W30" s="0" t="n">
        <v>76.918524</v>
      </c>
      <c r="X30" s="0" t="s">
        <v>21</v>
      </c>
      <c r="Y30" s="1" t="s">
        <v>5</v>
      </c>
      <c r="Z30" s="0" t="n">
        <v>8.101647</v>
      </c>
      <c r="AA30" s="0" t="s">
        <v>12</v>
      </c>
      <c r="AB30" s="1" t="s">
        <v>6</v>
      </c>
      <c r="AC30" s="0" t="n">
        <v>1.915537</v>
      </c>
      <c r="AD30" s="0" t="s">
        <v>17</v>
      </c>
      <c r="AE30" s="1" t="s">
        <v>6</v>
      </c>
      <c r="AF30" s="0" t="n">
        <v>35.35379</v>
      </c>
      <c r="AG30" s="0" t="s">
        <v>22</v>
      </c>
      <c r="AH30" s="1" t="s">
        <v>6</v>
      </c>
      <c r="AI30" s="0" t="n">
        <v>36.457945</v>
      </c>
      <c r="AJ30" s="0" t="s">
        <v>51</v>
      </c>
      <c r="AK30" s="1" t="s">
        <v>6</v>
      </c>
      <c r="AL30" s="0" t="s">
        <v>2</v>
      </c>
      <c r="AM30" s="0" t="s">
        <v>11</v>
      </c>
      <c r="AN30" s="0" t="s">
        <v>3</v>
      </c>
      <c r="AO30" s="0" t="n">
        <v>9.134926</v>
      </c>
      <c r="AP30" s="0" t="n">
        <v>1</v>
      </c>
      <c r="AQ30" s="0" t="n">
        <v>0</v>
      </c>
      <c r="AS30" s="2" t="str">
        <f aca="false">IF(AND(G30="true",J30="true",M30="true",P30="true",S30="true"),"true","false")</f>
        <v>false</v>
      </c>
      <c r="AT30" s="0" t="str">
        <f aca="false">IF(AND(Y30="true",AB30="true",AE30="true",AH30="true",AK30="true"),"true","false")</f>
        <v>false</v>
      </c>
    </row>
    <row r="31" customFormat="false" ht="12.8" hidden="false" customHeight="false" outlineLevel="0" collapsed="false">
      <c r="A31" s="0" t="s">
        <v>79</v>
      </c>
      <c r="B31" s="0" t="s">
        <v>1</v>
      </c>
      <c r="C31" s="0" t="s">
        <v>2</v>
      </c>
      <c r="D31" s="0" t="s">
        <v>3</v>
      </c>
      <c r="E31" s="0" t="n">
        <v>16.649711</v>
      </c>
      <c r="F31" s="0" t="s">
        <v>4</v>
      </c>
      <c r="G31" s="1" t="s">
        <v>5</v>
      </c>
      <c r="H31" s="0" t="n">
        <v>10.796034</v>
      </c>
      <c r="I31" s="0" t="s">
        <v>4</v>
      </c>
      <c r="J31" s="1" t="s">
        <v>6</v>
      </c>
      <c r="K31" s="0" t="n">
        <v>7.571309</v>
      </c>
      <c r="L31" s="0" t="s">
        <v>4</v>
      </c>
      <c r="M31" s="1" t="s">
        <v>5</v>
      </c>
      <c r="N31" s="0" t="n">
        <v>24.483461</v>
      </c>
      <c r="O31" s="0" t="s">
        <v>8</v>
      </c>
      <c r="P31" s="1" t="s">
        <v>5</v>
      </c>
      <c r="Q31" s="0" t="n">
        <v>71.234436</v>
      </c>
      <c r="R31" s="0" t="s">
        <v>15</v>
      </c>
      <c r="S31" s="1" t="s">
        <v>6</v>
      </c>
      <c r="T31" s="0" t="s">
        <v>10</v>
      </c>
      <c r="U31" s="0" t="s">
        <v>11</v>
      </c>
      <c r="V31" s="0" t="s">
        <v>3</v>
      </c>
      <c r="W31" s="0" t="n">
        <v>34.114345</v>
      </c>
      <c r="X31" s="0" t="s">
        <v>21</v>
      </c>
      <c r="Y31" s="1" t="s">
        <v>5</v>
      </c>
      <c r="Z31" s="0" t="n">
        <v>23.557913</v>
      </c>
      <c r="AA31" s="0" t="s">
        <v>17</v>
      </c>
      <c r="AB31" s="1" t="s">
        <v>5</v>
      </c>
      <c r="AC31" s="0" t="n">
        <v>12.660496</v>
      </c>
      <c r="AD31" s="0" t="s">
        <v>12</v>
      </c>
      <c r="AE31" s="1" t="s">
        <v>5</v>
      </c>
      <c r="AF31" s="0" t="n">
        <v>57.260799</v>
      </c>
      <c r="AG31" s="0" t="s">
        <v>19</v>
      </c>
      <c r="AH31" s="1" t="s">
        <v>5</v>
      </c>
      <c r="AI31" s="0" t="n">
        <v>5.721019</v>
      </c>
      <c r="AJ31" s="0" t="s">
        <v>15</v>
      </c>
      <c r="AK31" s="1" t="s">
        <v>5</v>
      </c>
      <c r="AL31" s="0" t="s">
        <v>2</v>
      </c>
      <c r="AM31" s="0" t="s">
        <v>11</v>
      </c>
      <c r="AN31" s="0" t="s">
        <v>3</v>
      </c>
      <c r="AO31" s="0" t="n">
        <v>17.517797</v>
      </c>
      <c r="AP31" s="0" t="n">
        <v>1</v>
      </c>
      <c r="AQ31" s="0" t="n">
        <v>1</v>
      </c>
      <c r="AS31" s="2" t="str">
        <f aca="false">IF(AND(G31="true",J31="true",M31="true",P31="true",S31="true"),"true","false")</f>
        <v>false</v>
      </c>
      <c r="AT31" s="0" t="str">
        <f aca="false">IF(AND(Y31="true",AB31="true",AE31="true",AH31="true",AK31="true"),"true","false")</f>
        <v>true</v>
      </c>
    </row>
    <row r="32" customFormat="false" ht="12.8" hidden="false" customHeight="false" outlineLevel="0" collapsed="false">
      <c r="A32" s="0" t="s">
        <v>80</v>
      </c>
      <c r="B32" s="0" t="s">
        <v>1</v>
      </c>
      <c r="C32" s="0" t="s">
        <v>2</v>
      </c>
      <c r="D32" s="0" t="s">
        <v>3</v>
      </c>
      <c r="E32" s="0" t="n">
        <v>27.730996</v>
      </c>
      <c r="F32" s="0" t="s">
        <v>4</v>
      </c>
      <c r="G32" s="1" t="s">
        <v>5</v>
      </c>
      <c r="H32" s="0" t="n">
        <v>17.394532</v>
      </c>
      <c r="I32" s="0" t="s">
        <v>81</v>
      </c>
      <c r="J32" s="1" t="s">
        <v>6</v>
      </c>
      <c r="K32" s="0" t="n">
        <v>14.583827</v>
      </c>
      <c r="L32" s="0" t="s">
        <v>82</v>
      </c>
      <c r="M32" s="1" t="s">
        <v>6</v>
      </c>
      <c r="N32" s="0" t="n">
        <v>106.045637</v>
      </c>
      <c r="O32" s="0" t="s">
        <v>83</v>
      </c>
      <c r="P32" s="1" t="s">
        <v>6</v>
      </c>
      <c r="Q32" s="0" t="n">
        <v>13.849818</v>
      </c>
      <c r="R32" s="0" t="s">
        <v>9</v>
      </c>
      <c r="S32" s="1" t="s">
        <v>6</v>
      </c>
      <c r="T32" s="0" t="s">
        <v>10</v>
      </c>
      <c r="U32" s="0" t="s">
        <v>11</v>
      </c>
      <c r="V32" s="0" t="s">
        <v>3</v>
      </c>
      <c r="W32" s="0" t="n">
        <v>64.838903</v>
      </c>
      <c r="X32" s="0" t="s">
        <v>21</v>
      </c>
      <c r="Y32" s="1" t="s">
        <v>5</v>
      </c>
      <c r="Z32" s="0" t="n">
        <v>16.971175</v>
      </c>
      <c r="AA32" s="0" t="s">
        <v>17</v>
      </c>
      <c r="AB32" s="1" t="s">
        <v>5</v>
      </c>
      <c r="AC32" s="0" t="n">
        <v>79.728025</v>
      </c>
      <c r="AD32" s="0" t="s">
        <v>12</v>
      </c>
      <c r="AE32" s="1" t="s">
        <v>5</v>
      </c>
      <c r="AF32" s="0" t="n">
        <v>65.951112</v>
      </c>
      <c r="AG32" s="0" t="s">
        <v>22</v>
      </c>
      <c r="AH32" s="1" t="s">
        <v>6</v>
      </c>
      <c r="AI32" s="0" t="n">
        <v>36.421949</v>
      </c>
      <c r="AJ32" s="0" t="s">
        <v>51</v>
      </c>
      <c r="AK32" s="1" t="s">
        <v>6</v>
      </c>
      <c r="AL32" s="0" t="s">
        <v>2</v>
      </c>
      <c r="AM32" s="0" t="s">
        <v>11</v>
      </c>
      <c r="AN32" s="0" t="s">
        <v>3</v>
      </c>
      <c r="AO32" s="0" t="n">
        <v>23.649695</v>
      </c>
      <c r="AP32" s="0" t="n">
        <v>0</v>
      </c>
      <c r="AQ32" s="0" t="n">
        <v>1</v>
      </c>
      <c r="AS32" s="2" t="str">
        <f aca="false">IF(AND(G32="true",J32="true",M32="true",P32="true",S32="true"),"true","false")</f>
        <v>false</v>
      </c>
      <c r="AT32" s="0" t="str">
        <f aca="false">IF(AND(Y32="true",AB32="true",AE32="true",AH32="true",AK32="true"),"true","false")</f>
        <v>false</v>
      </c>
    </row>
    <row r="33" customFormat="false" ht="12.8" hidden="false" customHeight="false" outlineLevel="0" collapsed="false">
      <c r="A33" s="0" t="s">
        <v>84</v>
      </c>
      <c r="B33" s="0" t="s">
        <v>1</v>
      </c>
      <c r="C33" s="0" t="s">
        <v>2</v>
      </c>
      <c r="D33" s="0" t="s">
        <v>3</v>
      </c>
      <c r="E33" s="0" t="n">
        <v>17.620758</v>
      </c>
      <c r="F33" s="0" t="s">
        <v>4</v>
      </c>
      <c r="G33" s="1" t="s">
        <v>5</v>
      </c>
      <c r="H33" s="0" t="n">
        <v>19.566508</v>
      </c>
      <c r="I33" s="0" t="s">
        <v>4</v>
      </c>
      <c r="J33" s="1" t="s">
        <v>6</v>
      </c>
      <c r="K33" s="0" t="n">
        <v>13.050822</v>
      </c>
      <c r="L33" s="0" t="s">
        <v>4</v>
      </c>
      <c r="M33" s="1" t="s">
        <v>5</v>
      </c>
      <c r="N33" s="0" t="n">
        <v>22.943715</v>
      </c>
      <c r="O33" s="0" t="s">
        <v>8</v>
      </c>
      <c r="P33" s="1" t="s">
        <v>5</v>
      </c>
      <c r="Q33" s="0" t="n">
        <v>23.252404</v>
      </c>
      <c r="R33" s="0" t="s">
        <v>15</v>
      </c>
      <c r="S33" s="1" t="s">
        <v>6</v>
      </c>
      <c r="T33" s="0" t="s">
        <v>10</v>
      </c>
      <c r="U33" s="0" t="s">
        <v>11</v>
      </c>
      <c r="V33" s="0" t="s">
        <v>3</v>
      </c>
      <c r="W33" s="0" t="n">
        <v>19.583085</v>
      </c>
      <c r="X33" s="0" t="s">
        <v>21</v>
      </c>
      <c r="Y33" s="1" t="s">
        <v>5</v>
      </c>
      <c r="Z33" s="0" t="n">
        <v>10.889121</v>
      </c>
      <c r="AA33" s="0" t="s">
        <v>12</v>
      </c>
      <c r="AB33" s="1" t="s">
        <v>6</v>
      </c>
      <c r="AC33" s="0" t="n">
        <v>6.570853</v>
      </c>
      <c r="AD33" s="0" t="s">
        <v>17</v>
      </c>
      <c r="AE33" s="1" t="s">
        <v>6</v>
      </c>
      <c r="AF33" s="0" t="n">
        <v>28.713616</v>
      </c>
      <c r="AG33" s="0" t="s">
        <v>19</v>
      </c>
      <c r="AH33" s="1" t="s">
        <v>5</v>
      </c>
      <c r="AI33" s="0" t="n">
        <v>6.8013</v>
      </c>
      <c r="AJ33" s="0" t="s">
        <v>15</v>
      </c>
      <c r="AK33" s="1" t="s">
        <v>5</v>
      </c>
      <c r="AL33" s="0" t="s">
        <v>2</v>
      </c>
      <c r="AM33" s="0" t="s">
        <v>11</v>
      </c>
      <c r="AN33" s="0" t="s">
        <v>3</v>
      </c>
      <c r="AO33" s="0" t="n">
        <v>14.861549</v>
      </c>
      <c r="AP33" s="0" t="n">
        <v>-1</v>
      </c>
      <c r="AQ33" s="0" t="n">
        <v>2</v>
      </c>
      <c r="AS33" s="2" t="str">
        <f aca="false">IF(AND(G33="true",J33="true",M33="true",P33="true",S33="true"),"true","false")</f>
        <v>false</v>
      </c>
      <c r="AT33" s="0" t="str">
        <f aca="false">IF(AND(Y33="true",AB33="true",AE33="true",AH33="true",AK33="true"),"true","false")</f>
        <v>false</v>
      </c>
    </row>
    <row r="34" customFormat="false" ht="12.8" hidden="false" customHeight="false" outlineLevel="0" collapsed="false">
      <c r="A34" s="0" t="s">
        <v>85</v>
      </c>
      <c r="B34" s="0" t="s">
        <v>1</v>
      </c>
      <c r="C34" s="0" t="s">
        <v>11</v>
      </c>
      <c r="D34" s="0" t="s">
        <v>3</v>
      </c>
      <c r="E34" s="0" t="n">
        <v>15.376944</v>
      </c>
      <c r="F34" s="0" t="s">
        <v>17</v>
      </c>
      <c r="G34" s="1" t="s">
        <v>6</v>
      </c>
      <c r="H34" s="0" t="n">
        <v>18.296733</v>
      </c>
      <c r="I34" s="0" t="s">
        <v>17</v>
      </c>
      <c r="J34" s="1" t="s">
        <v>5</v>
      </c>
      <c r="K34" s="0" t="n">
        <v>10.533409</v>
      </c>
      <c r="L34" s="0" t="s">
        <v>12</v>
      </c>
      <c r="M34" s="1" t="s">
        <v>5</v>
      </c>
      <c r="N34" s="0" t="n">
        <v>29.956139</v>
      </c>
      <c r="O34" s="0" t="s">
        <v>19</v>
      </c>
      <c r="P34" s="1" t="s">
        <v>5</v>
      </c>
      <c r="Q34" s="0" t="n">
        <v>10.309922</v>
      </c>
      <c r="R34" s="0" t="s">
        <v>15</v>
      </c>
      <c r="S34" s="1" t="s">
        <v>6</v>
      </c>
      <c r="T34" s="0" t="s">
        <v>10</v>
      </c>
      <c r="U34" s="0" t="s">
        <v>2</v>
      </c>
      <c r="V34" s="0" t="s">
        <v>3</v>
      </c>
      <c r="W34" s="0" t="n">
        <v>20.834354</v>
      </c>
      <c r="X34" s="0" t="s">
        <v>81</v>
      </c>
      <c r="Y34" s="1" t="s">
        <v>6</v>
      </c>
      <c r="Z34" s="0" t="n">
        <v>25.564085</v>
      </c>
      <c r="AA34" s="0" t="s">
        <v>7</v>
      </c>
      <c r="AB34" s="1" t="s">
        <v>5</v>
      </c>
      <c r="AC34" s="0" t="n">
        <v>8.657717</v>
      </c>
      <c r="AD34" s="0" t="s">
        <v>4</v>
      </c>
      <c r="AE34" s="1" t="s">
        <v>5</v>
      </c>
      <c r="AF34" s="0" t="n">
        <v>26.923809</v>
      </c>
      <c r="AG34" s="0" t="s">
        <v>8</v>
      </c>
      <c r="AH34" s="1" t="s">
        <v>5</v>
      </c>
      <c r="AI34" s="0" t="n">
        <v>16.7842</v>
      </c>
      <c r="AJ34" s="0" t="s">
        <v>9</v>
      </c>
      <c r="AK34" s="1" t="s">
        <v>5</v>
      </c>
      <c r="AL34" s="0" t="s">
        <v>11</v>
      </c>
      <c r="AM34" s="0" t="s">
        <v>2</v>
      </c>
      <c r="AN34" s="0" t="s">
        <v>3</v>
      </c>
      <c r="AO34" s="0" t="n">
        <v>12.0409</v>
      </c>
      <c r="AP34" s="0" t="n">
        <v>0</v>
      </c>
      <c r="AQ34" s="0" t="n">
        <v>0</v>
      </c>
      <c r="AS34" s="2" t="str">
        <f aca="false">IF(AND(G34="true",J34="true",M34="true",P34="true",S34="true"),"true","false")</f>
        <v>false</v>
      </c>
      <c r="AT34" s="0" t="str">
        <f aca="false">IF(AND(Y34="true",AB34="true",AE34="true",AH34="true",AK34="true"),"true","false")</f>
        <v>false</v>
      </c>
    </row>
    <row r="35" customFormat="false" ht="12.8" hidden="false" customHeight="false" outlineLevel="0" collapsed="false">
      <c r="A35" s="0" t="s">
        <v>86</v>
      </c>
      <c r="B35" s="0" t="s">
        <v>1</v>
      </c>
      <c r="C35" s="0" t="s">
        <v>11</v>
      </c>
      <c r="D35" s="0" t="s">
        <v>3</v>
      </c>
      <c r="E35" s="0" t="n">
        <v>34.144296</v>
      </c>
      <c r="F35" s="0" t="s">
        <v>21</v>
      </c>
      <c r="G35" s="1" t="s">
        <v>5</v>
      </c>
      <c r="H35" s="0" t="n">
        <v>42.656212</v>
      </c>
      <c r="I35" s="0" t="s">
        <v>12</v>
      </c>
      <c r="J35" s="1" t="s">
        <v>6</v>
      </c>
      <c r="K35" s="0" t="n">
        <v>21.766601</v>
      </c>
      <c r="L35" s="0" t="s">
        <v>12</v>
      </c>
      <c r="M35" s="1" t="s">
        <v>5</v>
      </c>
      <c r="N35" s="0" t="n">
        <v>32.97592</v>
      </c>
      <c r="O35" s="0" t="s">
        <v>22</v>
      </c>
      <c r="P35" s="1" t="s">
        <v>6</v>
      </c>
      <c r="Q35" s="0" t="n">
        <v>21.927825</v>
      </c>
      <c r="R35" s="0" t="s">
        <v>15</v>
      </c>
      <c r="S35" s="1" t="s">
        <v>6</v>
      </c>
      <c r="T35" s="0" t="s">
        <v>10</v>
      </c>
      <c r="U35" s="0" t="s">
        <v>2</v>
      </c>
      <c r="V35" s="0" t="s">
        <v>3</v>
      </c>
      <c r="W35" s="0" t="n">
        <v>33.353897</v>
      </c>
      <c r="X35" s="0" t="s">
        <v>4</v>
      </c>
      <c r="Y35" s="1" t="s">
        <v>5</v>
      </c>
      <c r="Z35" s="0" t="n">
        <v>29.506506</v>
      </c>
      <c r="AA35" s="0" t="s">
        <v>7</v>
      </c>
      <c r="AB35" s="1" t="s">
        <v>5</v>
      </c>
      <c r="AC35" s="0" t="n">
        <v>7.632978</v>
      </c>
      <c r="AD35" s="0" t="s">
        <v>4</v>
      </c>
      <c r="AE35" s="1" t="s">
        <v>5</v>
      </c>
      <c r="AF35" s="0" t="n">
        <v>23.798868</v>
      </c>
      <c r="AG35" s="0" t="s">
        <v>8</v>
      </c>
      <c r="AH35" s="1" t="s">
        <v>5</v>
      </c>
      <c r="AI35" s="0" t="n">
        <v>14.157586</v>
      </c>
      <c r="AJ35" s="0" t="s">
        <v>15</v>
      </c>
      <c r="AK35" s="1" t="s">
        <v>6</v>
      </c>
      <c r="AL35" s="0" t="s">
        <v>11</v>
      </c>
      <c r="AM35" s="0" t="s">
        <v>2</v>
      </c>
      <c r="AN35" s="0" t="s">
        <v>3</v>
      </c>
      <c r="AO35" s="0" t="n">
        <v>75.983997</v>
      </c>
      <c r="AP35" s="0" t="n">
        <v>1</v>
      </c>
      <c r="AQ35" s="0" t="n">
        <v>0</v>
      </c>
      <c r="AR35" s="0" t="s">
        <v>87</v>
      </c>
      <c r="AS35" s="2" t="str">
        <f aca="false">IF(AND(G35="true",J35="true",M35="true",P35="true",S35="true"),"true","false")</f>
        <v>false</v>
      </c>
      <c r="AT35" s="0" t="str">
        <f aca="false">IF(AND(Y35="true",AB35="true",AE35="true",AH35="true",AK35="true"),"true","false")</f>
        <v>false</v>
      </c>
    </row>
    <row r="36" customFormat="false" ht="12.8" hidden="false" customHeight="false" outlineLevel="0" collapsed="false">
      <c r="A36" s="0" t="s">
        <v>88</v>
      </c>
      <c r="B36" s="0" t="s">
        <v>1</v>
      </c>
      <c r="C36" s="0" t="s">
        <v>11</v>
      </c>
      <c r="D36" s="0" t="s">
        <v>3</v>
      </c>
      <c r="E36" s="0" t="n">
        <v>24.588679</v>
      </c>
      <c r="F36" s="0" t="s">
        <v>21</v>
      </c>
      <c r="G36" s="1" t="s">
        <v>5</v>
      </c>
      <c r="H36" s="0" t="n">
        <v>12.320244</v>
      </c>
      <c r="I36" s="0" t="s">
        <v>17</v>
      </c>
      <c r="J36" s="1" t="s">
        <v>5</v>
      </c>
      <c r="K36" s="0" t="n">
        <v>3.66871</v>
      </c>
      <c r="L36" s="0" t="s">
        <v>12</v>
      </c>
      <c r="M36" s="1" t="s">
        <v>5</v>
      </c>
      <c r="N36" s="0" t="n">
        <v>31.717793</v>
      </c>
      <c r="O36" s="0" t="s">
        <v>22</v>
      </c>
      <c r="P36" s="1" t="s">
        <v>6</v>
      </c>
      <c r="Q36" s="0" t="n">
        <v>36.006787</v>
      </c>
      <c r="R36" s="0" t="s">
        <v>15</v>
      </c>
      <c r="S36" s="1" t="s">
        <v>6</v>
      </c>
      <c r="T36" s="0" t="s">
        <v>10</v>
      </c>
      <c r="U36" s="0" t="s">
        <v>2</v>
      </c>
      <c r="V36" s="0" t="s">
        <v>3</v>
      </c>
      <c r="W36" s="0" t="n">
        <v>39.703684</v>
      </c>
      <c r="X36" s="0" t="s">
        <v>4</v>
      </c>
      <c r="Y36" s="1" t="s">
        <v>5</v>
      </c>
      <c r="Z36" s="0" t="n">
        <v>15.266323</v>
      </c>
      <c r="AA36" s="0" t="s">
        <v>4</v>
      </c>
      <c r="AB36" s="1" t="s">
        <v>6</v>
      </c>
      <c r="AC36" s="0" t="n">
        <v>9.090807</v>
      </c>
      <c r="AD36" s="0" t="s">
        <v>7</v>
      </c>
      <c r="AE36" s="1" t="s">
        <v>6</v>
      </c>
      <c r="AF36" s="0" t="n">
        <v>20.376043</v>
      </c>
      <c r="AG36" s="0" t="s">
        <v>8</v>
      </c>
      <c r="AH36" s="1" t="s">
        <v>5</v>
      </c>
      <c r="AI36" s="0" t="n">
        <v>21.969078</v>
      </c>
      <c r="AJ36" s="0" t="s">
        <v>9</v>
      </c>
      <c r="AK36" s="1" t="s">
        <v>5</v>
      </c>
      <c r="AL36" s="0" t="s">
        <v>11</v>
      </c>
      <c r="AM36" s="0" t="s">
        <v>2</v>
      </c>
      <c r="AN36" s="0" t="s">
        <v>3</v>
      </c>
      <c r="AO36" s="0" t="n">
        <v>64.073921</v>
      </c>
      <c r="AP36" s="0" t="n">
        <v>1</v>
      </c>
      <c r="AQ36" s="0" t="n">
        <v>1</v>
      </c>
      <c r="AS36" s="2" t="str">
        <f aca="false">IF(AND(G36="true",J36="true",M36="true",P36="true",S36="true"),"true","false")</f>
        <v>false</v>
      </c>
      <c r="AT36" s="0" t="str">
        <f aca="false">IF(AND(Y36="true",AB36="true",AE36="true",AH36="true",AK36="true"),"true","false")</f>
        <v>false</v>
      </c>
    </row>
    <row r="37" customFormat="false" ht="12.8" hidden="false" customHeight="false" outlineLevel="0" collapsed="false">
      <c r="A37" s="0" t="s">
        <v>89</v>
      </c>
      <c r="B37" s="0" t="s">
        <v>1</v>
      </c>
      <c r="C37" s="0" t="s">
        <v>2</v>
      </c>
      <c r="D37" s="0" t="s">
        <v>3</v>
      </c>
      <c r="E37" s="0" t="n">
        <v>39.236985</v>
      </c>
      <c r="F37" s="0" t="s">
        <v>82</v>
      </c>
      <c r="G37" s="1" t="s">
        <v>6</v>
      </c>
      <c r="H37" s="0" t="n">
        <v>18.986495</v>
      </c>
      <c r="I37" s="0" t="s">
        <v>82</v>
      </c>
      <c r="J37" s="1" t="s">
        <v>6</v>
      </c>
      <c r="K37" s="0" t="n">
        <v>8.937841</v>
      </c>
      <c r="L37" s="0" t="s">
        <v>7</v>
      </c>
      <c r="M37" s="1" t="s">
        <v>6</v>
      </c>
      <c r="N37" s="0" t="n">
        <v>58.912523</v>
      </c>
      <c r="O37" s="0" t="s">
        <v>83</v>
      </c>
      <c r="P37" s="1" t="s">
        <v>6</v>
      </c>
      <c r="Q37" s="0" t="n">
        <v>25.273387</v>
      </c>
      <c r="R37" s="0" t="s">
        <v>51</v>
      </c>
      <c r="S37" s="1" t="s">
        <v>5</v>
      </c>
      <c r="T37" s="0" t="s">
        <v>10</v>
      </c>
      <c r="U37" s="0" t="s">
        <v>11</v>
      </c>
      <c r="V37" s="0" t="s">
        <v>3</v>
      </c>
      <c r="W37" s="0" t="n">
        <v>46.794712</v>
      </c>
      <c r="X37" s="0" t="s">
        <v>17</v>
      </c>
      <c r="Y37" s="1" t="s">
        <v>6</v>
      </c>
      <c r="Z37" s="0" t="n">
        <v>11.783837</v>
      </c>
      <c r="AA37" s="0" t="s">
        <v>17</v>
      </c>
      <c r="AB37" s="1" t="s">
        <v>5</v>
      </c>
      <c r="AC37" s="0" t="n">
        <v>6.912416</v>
      </c>
      <c r="AD37" s="0" t="s">
        <v>12</v>
      </c>
      <c r="AE37" s="1" t="s">
        <v>5</v>
      </c>
      <c r="AF37" s="0" t="n">
        <v>67.486395</v>
      </c>
      <c r="AG37" s="0" t="s">
        <v>90</v>
      </c>
      <c r="AH37" s="1" t="s">
        <v>6</v>
      </c>
      <c r="AI37" s="0" t="n">
        <v>36.246879</v>
      </c>
      <c r="AJ37" s="0" t="s">
        <v>15</v>
      </c>
      <c r="AK37" s="1" t="s">
        <v>5</v>
      </c>
      <c r="AL37" s="0" t="s">
        <v>2</v>
      </c>
      <c r="AM37" s="0" t="s">
        <v>11</v>
      </c>
      <c r="AN37" s="0" t="s">
        <v>3</v>
      </c>
      <c r="AO37" s="0" t="n">
        <v>39.158355</v>
      </c>
      <c r="AP37" s="0" t="n">
        <v>-2</v>
      </c>
      <c r="AQ37" s="0" t="n">
        <v>-2</v>
      </c>
      <c r="AS37" s="2" t="str">
        <f aca="false">IF(AND(G37="true",J37="true",M37="true",P37="true",S37="true"),"true","false")</f>
        <v>false</v>
      </c>
      <c r="AT37" s="0" t="str">
        <f aca="false">IF(AND(Y37="true",AB37="true",AE37="true",AH37="true",AK37="true"),"true","false")</f>
        <v>false</v>
      </c>
    </row>
    <row r="38" customFormat="false" ht="12.8" hidden="false" customHeight="false" outlineLevel="0" collapsed="false">
      <c r="A38" s="0" t="s">
        <v>91</v>
      </c>
      <c r="B38" s="0" t="s">
        <v>1</v>
      </c>
      <c r="C38" s="0" t="s">
        <v>2</v>
      </c>
      <c r="D38" s="0" t="s">
        <v>3</v>
      </c>
      <c r="E38" s="0" t="n">
        <v>39.67438</v>
      </c>
      <c r="F38" s="0" t="s">
        <v>4</v>
      </c>
      <c r="G38" s="1" t="s">
        <v>5</v>
      </c>
      <c r="H38" s="0" t="n">
        <v>16.644866</v>
      </c>
      <c r="I38" s="0" t="s">
        <v>4</v>
      </c>
      <c r="J38" s="1" t="s">
        <v>6</v>
      </c>
      <c r="K38" s="0" t="n">
        <v>2.532538</v>
      </c>
      <c r="L38" s="0" t="s">
        <v>7</v>
      </c>
      <c r="M38" s="1" t="s">
        <v>6</v>
      </c>
      <c r="N38" s="0" t="n">
        <v>23.330567</v>
      </c>
      <c r="O38" s="0" t="s">
        <v>92</v>
      </c>
      <c r="P38" s="1" t="s">
        <v>6</v>
      </c>
      <c r="Q38" s="0" t="n">
        <v>13.25581</v>
      </c>
      <c r="R38" s="0" t="s">
        <v>9</v>
      </c>
      <c r="S38" s="1" t="s">
        <v>6</v>
      </c>
      <c r="T38" s="0" t="s">
        <v>10</v>
      </c>
      <c r="U38" s="0" t="s">
        <v>11</v>
      </c>
      <c r="V38" s="0" t="s">
        <v>3</v>
      </c>
      <c r="W38" s="0" t="n">
        <v>23.886964</v>
      </c>
      <c r="X38" s="0" t="s">
        <v>35</v>
      </c>
      <c r="Y38" s="1" t="s">
        <v>6</v>
      </c>
      <c r="Z38" s="0" t="n">
        <v>0.522696</v>
      </c>
      <c r="AB38" s="1" t="s">
        <v>6</v>
      </c>
      <c r="AC38" s="0" t="n">
        <v>7.77848</v>
      </c>
      <c r="AD38" s="0" t="s">
        <v>12</v>
      </c>
      <c r="AE38" s="1" t="s">
        <v>5</v>
      </c>
      <c r="AF38" s="0" t="n">
        <v>26.63</v>
      </c>
      <c r="AG38" s="0" t="s">
        <v>19</v>
      </c>
      <c r="AH38" s="1" t="s">
        <v>5</v>
      </c>
      <c r="AI38" s="0" t="n">
        <v>9.754909</v>
      </c>
      <c r="AJ38" s="0" t="s">
        <v>15</v>
      </c>
      <c r="AK38" s="1" t="s">
        <v>5</v>
      </c>
      <c r="AL38" s="0" t="s">
        <v>2</v>
      </c>
      <c r="AM38" s="0" t="s">
        <v>11</v>
      </c>
      <c r="AN38" s="0" t="s">
        <v>3</v>
      </c>
      <c r="AO38" s="0" t="n">
        <v>38.839503</v>
      </c>
      <c r="AP38" s="0" t="n">
        <v>2</v>
      </c>
      <c r="AQ38" s="0" t="n">
        <v>1</v>
      </c>
      <c r="AR38" s="0" t="s">
        <v>93</v>
      </c>
      <c r="AS38" s="2" t="str">
        <f aca="false">IF(AND(G38="true",J38="true",M38="true",P38="true",S38="true"),"true","false")</f>
        <v>false</v>
      </c>
      <c r="AT38" s="0" t="str">
        <f aca="false">IF(AND(Y38="true",AB38="true",AE38="true",AH38="true",AK38="true"),"true","false")</f>
        <v>false</v>
      </c>
    </row>
    <row r="39" customFormat="false" ht="12.8" hidden="false" customHeight="false" outlineLevel="0" collapsed="false">
      <c r="A39" s="0" t="s">
        <v>94</v>
      </c>
      <c r="B39" s="0" t="s">
        <v>1</v>
      </c>
      <c r="C39" s="0" t="s">
        <v>2</v>
      </c>
      <c r="D39" s="0" t="s">
        <v>3</v>
      </c>
      <c r="E39" s="0" t="n">
        <v>17.226584</v>
      </c>
      <c r="F39" s="0" t="s">
        <v>4</v>
      </c>
      <c r="G39" s="1" t="s">
        <v>5</v>
      </c>
      <c r="H39" s="0" t="n">
        <v>12.378849</v>
      </c>
      <c r="I39" s="0" t="s">
        <v>7</v>
      </c>
      <c r="J39" s="1" t="s">
        <v>5</v>
      </c>
      <c r="K39" s="0" t="n">
        <v>6.84197</v>
      </c>
      <c r="L39" s="0" t="s">
        <v>4</v>
      </c>
      <c r="M39" s="1" t="s">
        <v>5</v>
      </c>
      <c r="N39" s="0" t="n">
        <v>20.344006</v>
      </c>
      <c r="O39" s="0" t="s">
        <v>8</v>
      </c>
      <c r="P39" s="1" t="s">
        <v>5</v>
      </c>
      <c r="Q39" s="0" t="n">
        <v>34.46348</v>
      </c>
      <c r="R39" s="0" t="s">
        <v>15</v>
      </c>
      <c r="S39" s="1" t="s">
        <v>6</v>
      </c>
      <c r="T39" s="0" t="s">
        <v>10</v>
      </c>
      <c r="U39" s="0" t="s">
        <v>11</v>
      </c>
      <c r="V39" s="0" t="s">
        <v>3</v>
      </c>
      <c r="W39" s="0" t="n">
        <v>17.315848</v>
      </c>
      <c r="X39" s="0" t="s">
        <v>21</v>
      </c>
      <c r="Y39" s="1" t="s">
        <v>5</v>
      </c>
      <c r="Z39" s="0" t="n">
        <v>55.668469</v>
      </c>
      <c r="AA39" s="0" t="s">
        <v>12</v>
      </c>
      <c r="AB39" s="1" t="s">
        <v>6</v>
      </c>
      <c r="AC39" s="0" t="n">
        <v>7.2913</v>
      </c>
      <c r="AD39" s="0" t="s">
        <v>17</v>
      </c>
      <c r="AE39" s="1" t="s">
        <v>6</v>
      </c>
      <c r="AF39" s="0" t="n">
        <v>32.524631</v>
      </c>
      <c r="AG39" s="0" t="s">
        <v>22</v>
      </c>
      <c r="AH39" s="1" t="s">
        <v>6</v>
      </c>
      <c r="AI39" s="0" t="n">
        <v>9.924456</v>
      </c>
      <c r="AJ39" s="0" t="s">
        <v>15</v>
      </c>
      <c r="AK39" s="1" t="s">
        <v>5</v>
      </c>
      <c r="AL39" s="0" t="s">
        <v>2</v>
      </c>
      <c r="AM39" s="0" t="s">
        <v>11</v>
      </c>
      <c r="AN39" s="0" t="s">
        <v>3</v>
      </c>
      <c r="AO39" s="0" t="n">
        <v>47.133769</v>
      </c>
      <c r="AP39" s="0" t="n">
        <v>2</v>
      </c>
      <c r="AQ39" s="0" t="n">
        <v>1</v>
      </c>
      <c r="AR39" s="0" t="s">
        <v>95</v>
      </c>
      <c r="AS39" s="2" t="str">
        <f aca="false">IF(AND(G39="true",J39="true",M39="true",P39="true",S39="true"),"true","false")</f>
        <v>false</v>
      </c>
      <c r="AT39" s="0" t="str">
        <f aca="false">IF(AND(Y39="true",AB39="true",AE39="true",AH39="true",AK39="true"),"true","false")</f>
        <v>false</v>
      </c>
    </row>
    <row r="40" customFormat="false" ht="12.8" hidden="false" customHeight="false" outlineLevel="0" collapsed="false">
      <c r="A40" s="0" t="s">
        <v>96</v>
      </c>
      <c r="B40" s="0" t="s">
        <v>1</v>
      </c>
      <c r="C40" s="0" t="s">
        <v>11</v>
      </c>
      <c r="D40" s="0" t="s">
        <v>3</v>
      </c>
      <c r="E40" s="0" t="n">
        <v>16.989748</v>
      </c>
      <c r="F40" s="0" t="s">
        <v>12</v>
      </c>
      <c r="G40" s="1" t="s">
        <v>6</v>
      </c>
      <c r="H40" s="0" t="n">
        <v>46.414634</v>
      </c>
      <c r="I40" s="0" t="s">
        <v>17</v>
      </c>
      <c r="J40" s="1" t="s">
        <v>5</v>
      </c>
      <c r="K40" s="0" t="n">
        <v>181.52444</v>
      </c>
      <c r="L40" s="0" t="s">
        <v>12</v>
      </c>
      <c r="M40" s="1" t="s">
        <v>5</v>
      </c>
      <c r="N40" s="0" t="n">
        <v>38.76002</v>
      </c>
      <c r="O40" s="0" t="s">
        <v>97</v>
      </c>
      <c r="P40" s="1" t="s">
        <v>6</v>
      </c>
      <c r="Q40" s="0" t="n">
        <v>31.450939</v>
      </c>
      <c r="R40" s="0" t="s">
        <v>15</v>
      </c>
      <c r="S40" s="1" t="s">
        <v>6</v>
      </c>
      <c r="T40" s="0" t="s">
        <v>10</v>
      </c>
      <c r="U40" s="0" t="s">
        <v>2</v>
      </c>
      <c r="V40" s="0" t="s">
        <v>3</v>
      </c>
      <c r="W40" s="0" t="n">
        <v>78.89579</v>
      </c>
      <c r="X40" s="0" t="s">
        <v>7</v>
      </c>
      <c r="Y40" s="1" t="s">
        <v>6</v>
      </c>
      <c r="Z40" s="0" t="n">
        <v>9.23341</v>
      </c>
      <c r="AA40" s="0" t="s">
        <v>4</v>
      </c>
      <c r="AB40" s="1" t="s">
        <v>6</v>
      </c>
      <c r="AC40" s="0" t="n">
        <v>35.743651</v>
      </c>
      <c r="AD40" s="0" t="s">
        <v>4</v>
      </c>
      <c r="AE40" s="1" t="s">
        <v>5</v>
      </c>
      <c r="AF40" s="0" t="n">
        <v>30.751354</v>
      </c>
      <c r="AG40" s="0" t="s">
        <v>8</v>
      </c>
      <c r="AH40" s="1" t="s">
        <v>5</v>
      </c>
      <c r="AI40" s="0" t="n">
        <v>41.750863</v>
      </c>
      <c r="AJ40" s="0" t="s">
        <v>15</v>
      </c>
      <c r="AK40" s="1" t="s">
        <v>6</v>
      </c>
      <c r="AL40" s="0" t="s">
        <v>11</v>
      </c>
      <c r="AM40" s="0" t="s">
        <v>2</v>
      </c>
      <c r="AN40" s="0" t="s">
        <v>3</v>
      </c>
      <c r="AO40" s="0" t="n">
        <v>29.504191</v>
      </c>
      <c r="AP40" s="0" t="n">
        <v>0</v>
      </c>
      <c r="AQ40" s="0" t="n">
        <v>-1</v>
      </c>
      <c r="AS40" s="2" t="str">
        <f aca="false">IF(AND(G40="true",J40="true",M40="true",P40="true",S40="true"),"true","false")</f>
        <v>false</v>
      </c>
      <c r="AT40" s="0" t="str">
        <f aca="false">IF(AND(Y40="true",AB40="true",AE40="true",AH40="true",AK40="true"),"true","false")</f>
        <v>false</v>
      </c>
    </row>
    <row r="41" customFormat="false" ht="12.8" hidden="false" customHeight="false" outlineLevel="0" collapsed="false">
      <c r="A41" s="0" t="s">
        <v>98</v>
      </c>
      <c r="B41" s="0" t="s">
        <v>1</v>
      </c>
      <c r="C41" s="0" t="s">
        <v>11</v>
      </c>
      <c r="D41" s="0" t="s">
        <v>3</v>
      </c>
      <c r="E41" s="0" t="n">
        <v>39.502904</v>
      </c>
      <c r="F41" s="0" t="s">
        <v>17</v>
      </c>
      <c r="G41" s="1" t="s">
        <v>6</v>
      </c>
      <c r="H41" s="0" t="n">
        <v>43.410459</v>
      </c>
      <c r="I41" s="0" t="s">
        <v>17</v>
      </c>
      <c r="J41" s="1" t="s">
        <v>5</v>
      </c>
      <c r="K41" s="0" t="n">
        <v>17.282871</v>
      </c>
      <c r="L41" s="0" t="s">
        <v>18</v>
      </c>
      <c r="M41" s="1" t="s">
        <v>6</v>
      </c>
      <c r="N41" s="0" t="n">
        <v>55.823046</v>
      </c>
      <c r="O41" s="0" t="s">
        <v>44</v>
      </c>
      <c r="P41" s="1" t="s">
        <v>6</v>
      </c>
      <c r="Q41" s="0" t="n">
        <v>30.192487</v>
      </c>
      <c r="R41" s="0" t="s">
        <v>9</v>
      </c>
      <c r="S41" s="1" t="s">
        <v>6</v>
      </c>
      <c r="T41" s="0" t="s">
        <v>10</v>
      </c>
      <c r="U41" s="0" t="s">
        <v>2</v>
      </c>
      <c r="V41" s="0" t="s">
        <v>3</v>
      </c>
      <c r="W41" s="0" t="n">
        <v>61.160326</v>
      </c>
      <c r="X41" s="0" t="s">
        <v>81</v>
      </c>
      <c r="Y41" s="1" t="s">
        <v>6</v>
      </c>
      <c r="Z41" s="0" t="n">
        <v>21.620646</v>
      </c>
      <c r="AA41" s="0" t="s">
        <v>82</v>
      </c>
      <c r="AB41" s="1" t="s">
        <v>6</v>
      </c>
      <c r="AC41" s="0" t="n">
        <v>40.668625</v>
      </c>
      <c r="AD41" s="0" t="s">
        <v>46</v>
      </c>
      <c r="AE41" s="1" t="s">
        <v>6</v>
      </c>
      <c r="AF41" s="0" t="n">
        <v>61.062426</v>
      </c>
      <c r="AG41" s="0" t="s">
        <v>75</v>
      </c>
      <c r="AH41" s="1" t="s">
        <v>6</v>
      </c>
      <c r="AI41" s="0" t="n">
        <v>11.484234</v>
      </c>
      <c r="AJ41" s="0" t="s">
        <v>9</v>
      </c>
      <c r="AK41" s="1" t="s">
        <v>5</v>
      </c>
      <c r="AL41" s="0" t="s">
        <v>11</v>
      </c>
      <c r="AM41" s="0" t="s">
        <v>2</v>
      </c>
      <c r="AN41" s="0" t="s">
        <v>3</v>
      </c>
      <c r="AO41" s="0" t="n">
        <v>75.837679</v>
      </c>
      <c r="AP41" s="0" t="n">
        <v>1</v>
      </c>
      <c r="AQ41" s="0" t="n">
        <v>1</v>
      </c>
      <c r="AS41" s="2" t="str">
        <f aca="false">IF(AND(G41="true",J41="true",M41="true",P41="true",S41="true"),"true","false")</f>
        <v>false</v>
      </c>
      <c r="AT41" s="0" t="str">
        <f aca="false">IF(AND(Y41="true",AB41="true",AE41="true",AH41="true",AK41="true"),"true","false")</f>
        <v>false</v>
      </c>
    </row>
    <row r="42" customFormat="false" ht="12.8" hidden="false" customHeight="false" outlineLevel="0" collapsed="false">
      <c r="A42" s="0" t="s">
        <v>99</v>
      </c>
      <c r="B42" s="0" t="s">
        <v>1</v>
      </c>
      <c r="C42" s="0" t="s">
        <v>2</v>
      </c>
      <c r="D42" s="0" t="s">
        <v>3</v>
      </c>
      <c r="E42" s="0" t="n">
        <v>22.51715</v>
      </c>
      <c r="F42" s="0" t="s">
        <v>4</v>
      </c>
      <c r="G42" s="1" t="s">
        <v>5</v>
      </c>
      <c r="H42" s="0" t="n">
        <v>4.664077</v>
      </c>
      <c r="I42" s="0" t="s">
        <v>7</v>
      </c>
      <c r="J42" s="1" t="s">
        <v>5</v>
      </c>
      <c r="K42" s="0" t="n">
        <v>34.703544</v>
      </c>
      <c r="M42" s="1" t="s">
        <v>6</v>
      </c>
      <c r="N42" s="0" t="n">
        <v>20.475349</v>
      </c>
      <c r="O42" s="0" t="s">
        <v>8</v>
      </c>
      <c r="P42" s="1" t="s">
        <v>5</v>
      </c>
      <c r="Q42" s="0" t="n">
        <v>24.241344</v>
      </c>
      <c r="R42" s="0" t="s">
        <v>9</v>
      </c>
      <c r="S42" s="1" t="s">
        <v>6</v>
      </c>
      <c r="T42" s="0" t="s">
        <v>10</v>
      </c>
      <c r="U42" s="0" t="s">
        <v>11</v>
      </c>
      <c r="V42" s="0" t="s">
        <v>3</v>
      </c>
      <c r="W42" s="0" t="n">
        <v>59.565861</v>
      </c>
      <c r="X42" s="0" t="s">
        <v>21</v>
      </c>
      <c r="Y42" s="1" t="s">
        <v>5</v>
      </c>
      <c r="Z42" s="0" t="n">
        <v>15.943954</v>
      </c>
      <c r="AA42" s="0" t="s">
        <v>21</v>
      </c>
      <c r="AB42" s="1" t="s">
        <v>6</v>
      </c>
      <c r="AC42" s="0" t="n">
        <v>25.181721</v>
      </c>
      <c r="AD42" s="0" t="s">
        <v>100</v>
      </c>
      <c r="AE42" s="1" t="s">
        <v>6</v>
      </c>
      <c r="AF42" s="0" t="n">
        <v>37.778283</v>
      </c>
      <c r="AH42" s="1" t="s">
        <v>6</v>
      </c>
      <c r="AI42" s="0" t="n">
        <v>21.710516</v>
      </c>
      <c r="AJ42" s="0" t="s">
        <v>15</v>
      </c>
      <c r="AK42" s="1" t="s">
        <v>5</v>
      </c>
      <c r="AL42" s="0" t="s">
        <v>2</v>
      </c>
      <c r="AM42" s="0" t="s">
        <v>11</v>
      </c>
      <c r="AN42" s="0" t="s">
        <v>3</v>
      </c>
      <c r="AO42" s="0" t="n">
        <v>196.130166</v>
      </c>
      <c r="AP42" s="0" t="n">
        <v>1</v>
      </c>
      <c r="AQ42" s="0" t="n">
        <v>2</v>
      </c>
      <c r="AS42" s="2" t="str">
        <f aca="false">IF(AND(G42="true",J42="true",M42="true",P42="true",S42="true"),"true","false")</f>
        <v>false</v>
      </c>
      <c r="AT42" s="0" t="str">
        <f aca="false">IF(AND(Y42="true",AB42="true",AE42="true",AH42="true",AK42="true"),"true","false")</f>
        <v>false</v>
      </c>
    </row>
    <row r="43" customFormat="false" ht="12.8" hidden="false" customHeight="false" outlineLevel="0" collapsed="false">
      <c r="A43" s="0" t="s">
        <v>101</v>
      </c>
      <c r="B43" s="0" t="s">
        <v>1</v>
      </c>
      <c r="C43" s="0" t="s">
        <v>11</v>
      </c>
      <c r="D43" s="0" t="s">
        <v>3</v>
      </c>
      <c r="E43" s="0" t="n">
        <v>61.465094</v>
      </c>
      <c r="F43" s="0" t="s">
        <v>12</v>
      </c>
      <c r="G43" s="1" t="s">
        <v>6</v>
      </c>
      <c r="H43" s="0" t="n">
        <v>44.318726</v>
      </c>
      <c r="I43" s="0" t="s">
        <v>17</v>
      </c>
      <c r="J43" s="1" t="s">
        <v>5</v>
      </c>
      <c r="K43" s="0" t="n">
        <v>10.597107</v>
      </c>
      <c r="L43" s="0" t="s">
        <v>12</v>
      </c>
      <c r="M43" s="1" t="s">
        <v>5</v>
      </c>
      <c r="N43" s="0" t="n">
        <v>37.791938</v>
      </c>
      <c r="O43" s="0" t="s">
        <v>19</v>
      </c>
      <c r="P43" s="1" t="s">
        <v>5</v>
      </c>
      <c r="Q43" s="0" t="n">
        <v>20.729693</v>
      </c>
      <c r="R43" s="0" t="s">
        <v>15</v>
      </c>
      <c r="S43" s="1" t="s">
        <v>6</v>
      </c>
      <c r="T43" s="0" t="s">
        <v>10</v>
      </c>
      <c r="U43" s="0" t="s">
        <v>2</v>
      </c>
      <c r="V43" s="0" t="s">
        <v>3</v>
      </c>
      <c r="W43" s="0" t="n">
        <v>43.260091</v>
      </c>
      <c r="X43" s="0" t="s">
        <v>4</v>
      </c>
      <c r="Y43" s="1" t="s">
        <v>5</v>
      </c>
      <c r="Z43" s="0" t="n">
        <v>58.10701</v>
      </c>
      <c r="AA43" s="0" t="s">
        <v>46</v>
      </c>
      <c r="AB43" s="1" t="s">
        <v>6</v>
      </c>
      <c r="AC43" s="0" t="n">
        <v>1.505769</v>
      </c>
      <c r="AD43" s="0" t="s">
        <v>7</v>
      </c>
      <c r="AE43" s="1" t="s">
        <v>6</v>
      </c>
      <c r="AF43" s="0" t="n">
        <v>86.659953</v>
      </c>
      <c r="AG43" s="0" t="s">
        <v>102</v>
      </c>
      <c r="AH43" s="1" t="s">
        <v>6</v>
      </c>
      <c r="AI43" s="0" t="n">
        <v>6.938037</v>
      </c>
      <c r="AJ43" s="0" t="s">
        <v>9</v>
      </c>
      <c r="AK43" s="1" t="s">
        <v>5</v>
      </c>
      <c r="AL43" s="0" t="s">
        <v>11</v>
      </c>
      <c r="AM43" s="0" t="s">
        <v>2</v>
      </c>
      <c r="AN43" s="0" t="s">
        <v>3</v>
      </c>
      <c r="AO43" s="0" t="n">
        <v>54.235814</v>
      </c>
      <c r="AP43" s="0" t="n">
        <v>1</v>
      </c>
      <c r="AQ43" s="0" t="n">
        <v>0</v>
      </c>
      <c r="AS43" s="2" t="str">
        <f aca="false">IF(AND(G43="true",J43="true",M43="true",P43="true",S43="true"),"true","false")</f>
        <v>false</v>
      </c>
      <c r="AT43" s="0" t="str">
        <f aca="false">IF(AND(Y43="true",AB43="true",AE43="true",AH43="true",AK43="true"),"true","false")</f>
        <v>false</v>
      </c>
    </row>
    <row r="44" customFormat="false" ht="12.8" hidden="false" customHeight="false" outlineLevel="0" collapsed="false">
      <c r="A44" s="0" t="s">
        <v>103</v>
      </c>
      <c r="B44" s="0" t="s">
        <v>1</v>
      </c>
      <c r="C44" s="0" t="s">
        <v>11</v>
      </c>
      <c r="D44" s="0" t="s">
        <v>3</v>
      </c>
      <c r="E44" s="0" t="n">
        <v>15.393978</v>
      </c>
      <c r="F44" s="0" t="s">
        <v>12</v>
      </c>
      <c r="G44" s="1" t="s">
        <v>6</v>
      </c>
      <c r="H44" s="0" t="n">
        <v>11.573058</v>
      </c>
      <c r="I44" s="0" t="s">
        <v>17</v>
      </c>
      <c r="J44" s="1" t="s">
        <v>5</v>
      </c>
      <c r="K44" s="0" t="n">
        <v>11.846757</v>
      </c>
      <c r="L44" s="0" t="s">
        <v>12</v>
      </c>
      <c r="M44" s="1" t="s">
        <v>5</v>
      </c>
      <c r="N44" s="0" t="n">
        <v>38.946292</v>
      </c>
      <c r="O44" s="0" t="s">
        <v>22</v>
      </c>
      <c r="P44" s="1" t="s">
        <v>6</v>
      </c>
      <c r="Q44" s="0" t="n">
        <v>28.373406</v>
      </c>
      <c r="R44" s="0" t="s">
        <v>15</v>
      </c>
      <c r="S44" s="1" t="s">
        <v>6</v>
      </c>
      <c r="T44" s="0" t="s">
        <v>10</v>
      </c>
      <c r="U44" s="0" t="s">
        <v>2</v>
      </c>
      <c r="V44" s="0" t="s">
        <v>3</v>
      </c>
      <c r="W44" s="0" t="n">
        <v>26.19696</v>
      </c>
      <c r="X44" s="0" t="s">
        <v>4</v>
      </c>
      <c r="Y44" s="1" t="s">
        <v>5</v>
      </c>
      <c r="Z44" s="0" t="n">
        <v>19.180161</v>
      </c>
      <c r="AA44" s="0" t="s">
        <v>7</v>
      </c>
      <c r="AB44" s="1" t="s">
        <v>5</v>
      </c>
      <c r="AC44" s="0" t="n">
        <v>6.880983</v>
      </c>
      <c r="AD44" s="0" t="s">
        <v>4</v>
      </c>
      <c r="AE44" s="1" t="s">
        <v>5</v>
      </c>
      <c r="AF44" s="0" t="n">
        <v>28.306351</v>
      </c>
      <c r="AG44" s="0" t="s">
        <v>8</v>
      </c>
      <c r="AH44" s="1" t="s">
        <v>5</v>
      </c>
      <c r="AI44" s="0" t="n">
        <v>30.170318</v>
      </c>
      <c r="AJ44" s="0" t="s">
        <v>9</v>
      </c>
      <c r="AK44" s="1" t="s">
        <v>5</v>
      </c>
      <c r="AL44" s="0" t="s">
        <v>11</v>
      </c>
      <c r="AM44" s="0" t="s">
        <v>2</v>
      </c>
      <c r="AN44" s="0" t="s">
        <v>3</v>
      </c>
      <c r="AO44" s="0" t="n">
        <v>33.580408</v>
      </c>
      <c r="AP44" s="0" t="n">
        <v>2</v>
      </c>
      <c r="AQ44" s="0" t="n">
        <v>-1</v>
      </c>
      <c r="AS44" s="2" t="str">
        <f aca="false">IF(AND(G44="true",J44="true",M44="true",P44="true",S44="true"),"true","false")</f>
        <v>false</v>
      </c>
      <c r="AT44" s="0" t="str">
        <f aca="false">IF(AND(Y44="true",AB44="true",AE44="true",AH44="true",AK44="true"),"true","false")</f>
        <v>true</v>
      </c>
    </row>
    <row r="45" customFormat="false" ht="12.8" hidden="false" customHeight="false" outlineLevel="0" collapsed="false">
      <c r="A45" s="0" t="s">
        <v>104</v>
      </c>
      <c r="B45" s="0" t="s">
        <v>1</v>
      </c>
      <c r="C45" s="0" t="s">
        <v>11</v>
      </c>
      <c r="D45" s="0" t="s">
        <v>3</v>
      </c>
      <c r="E45" s="0" t="n">
        <v>17.193754</v>
      </c>
      <c r="F45" s="0" t="s">
        <v>12</v>
      </c>
      <c r="G45" s="1" t="s">
        <v>6</v>
      </c>
      <c r="H45" s="0" t="n">
        <v>6.878702</v>
      </c>
      <c r="I45" s="0" t="s">
        <v>12</v>
      </c>
      <c r="J45" s="1" t="s">
        <v>6</v>
      </c>
      <c r="K45" s="0" t="n">
        <v>8.493152</v>
      </c>
      <c r="L45" s="0" t="s">
        <v>12</v>
      </c>
      <c r="M45" s="1" t="s">
        <v>5</v>
      </c>
      <c r="N45" s="0" t="n">
        <v>20.49099</v>
      </c>
      <c r="O45" s="0" t="s">
        <v>44</v>
      </c>
      <c r="P45" s="1" t="s">
        <v>6</v>
      </c>
      <c r="Q45" s="0" t="n">
        <v>19.532538</v>
      </c>
      <c r="R45" s="0" t="s">
        <v>15</v>
      </c>
      <c r="S45" s="1" t="s">
        <v>6</v>
      </c>
      <c r="T45" s="0" t="s">
        <v>10</v>
      </c>
      <c r="U45" s="0" t="s">
        <v>2</v>
      </c>
      <c r="V45" s="0" t="s">
        <v>3</v>
      </c>
      <c r="W45" s="0" t="n">
        <v>34.625357</v>
      </c>
      <c r="X45" s="0" t="s">
        <v>40</v>
      </c>
      <c r="Y45" s="1" t="s">
        <v>6</v>
      </c>
      <c r="Z45" s="0" t="n">
        <v>15.758417</v>
      </c>
      <c r="AA45" s="0" t="s">
        <v>81</v>
      </c>
      <c r="AB45" s="1" t="s">
        <v>6</v>
      </c>
      <c r="AC45" s="0" t="n">
        <v>15.947775</v>
      </c>
      <c r="AD45" s="0" t="s">
        <v>46</v>
      </c>
      <c r="AE45" s="1" t="s">
        <v>6</v>
      </c>
      <c r="AF45" s="0" t="n">
        <v>22.251403</v>
      </c>
      <c r="AG45" s="0" t="s">
        <v>47</v>
      </c>
      <c r="AH45" s="1" t="s">
        <v>6</v>
      </c>
      <c r="AI45" s="0" t="n">
        <v>16.365466</v>
      </c>
      <c r="AJ45" s="0" t="s">
        <v>51</v>
      </c>
      <c r="AK45" s="1" t="s">
        <v>6</v>
      </c>
      <c r="AL45" s="0" t="s">
        <v>11</v>
      </c>
      <c r="AM45" s="0" t="s">
        <v>2</v>
      </c>
      <c r="AN45" s="0" t="s">
        <v>3</v>
      </c>
      <c r="AO45" s="0" t="n">
        <v>93.682676</v>
      </c>
      <c r="AP45" s="0" t="n">
        <v>1</v>
      </c>
      <c r="AQ45" s="0" t="n">
        <v>0</v>
      </c>
      <c r="AR45" s="0" t="s">
        <v>105</v>
      </c>
      <c r="AS45" s="2" t="str">
        <f aca="false">IF(AND(G45="true",J45="true",M45="true",P45="true",S45="true"),"true","false")</f>
        <v>false</v>
      </c>
      <c r="AT45" s="0" t="str">
        <f aca="false">IF(AND(Y45="true",AB45="true",AE45="true",AH45="true",AK45="true"),"true","false")</f>
        <v>false</v>
      </c>
    </row>
    <row r="46" customFormat="false" ht="12.8" hidden="false" customHeight="false" outlineLevel="0" collapsed="false">
      <c r="A46" s="0" t="s">
        <v>106</v>
      </c>
      <c r="B46" s="0" t="s">
        <v>1</v>
      </c>
      <c r="C46" s="0" t="s">
        <v>11</v>
      </c>
      <c r="D46" s="0" t="s">
        <v>3</v>
      </c>
      <c r="E46" s="0" t="n">
        <v>17.391212</v>
      </c>
      <c r="F46" s="0" t="s">
        <v>21</v>
      </c>
      <c r="G46" s="1" t="s">
        <v>5</v>
      </c>
      <c r="H46" s="0" t="n">
        <v>11.391429</v>
      </c>
      <c r="I46" s="0" t="s">
        <v>17</v>
      </c>
      <c r="J46" s="1" t="s">
        <v>5</v>
      </c>
      <c r="K46" s="0" t="n">
        <v>9.321683</v>
      </c>
      <c r="L46" s="0" t="s">
        <v>12</v>
      </c>
      <c r="M46" s="1" t="s">
        <v>5</v>
      </c>
      <c r="N46" s="0" t="n">
        <v>34.339044</v>
      </c>
      <c r="O46" s="0" t="s">
        <v>22</v>
      </c>
      <c r="P46" s="1" t="s">
        <v>6</v>
      </c>
      <c r="Q46" s="0" t="n">
        <v>33.158573</v>
      </c>
      <c r="R46" s="0" t="s">
        <v>9</v>
      </c>
      <c r="S46" s="1" t="s">
        <v>6</v>
      </c>
      <c r="T46" s="0" t="s">
        <v>10</v>
      </c>
      <c r="U46" s="0" t="s">
        <v>2</v>
      </c>
      <c r="V46" s="0" t="s">
        <v>3</v>
      </c>
      <c r="W46" s="0" t="n">
        <v>15.248958</v>
      </c>
      <c r="X46" s="0" t="s">
        <v>4</v>
      </c>
      <c r="Y46" s="1" t="s">
        <v>5</v>
      </c>
      <c r="Z46" s="0" t="n">
        <v>21.474851</v>
      </c>
      <c r="AA46" s="0" t="s">
        <v>4</v>
      </c>
      <c r="AB46" s="1" t="s">
        <v>6</v>
      </c>
      <c r="AC46" s="0" t="n">
        <v>7.401976</v>
      </c>
      <c r="AD46" s="0" t="s">
        <v>7</v>
      </c>
      <c r="AE46" s="1" t="s">
        <v>6</v>
      </c>
      <c r="AF46" s="0" t="n">
        <v>18.675874</v>
      </c>
      <c r="AG46" s="0" t="s">
        <v>8</v>
      </c>
      <c r="AH46" s="1" t="s">
        <v>5</v>
      </c>
      <c r="AI46" s="0" t="n">
        <v>9.235614</v>
      </c>
      <c r="AJ46" s="0" t="s">
        <v>9</v>
      </c>
      <c r="AK46" s="1" t="s">
        <v>5</v>
      </c>
      <c r="AL46" s="0" t="s">
        <v>11</v>
      </c>
      <c r="AM46" s="0" t="s">
        <v>2</v>
      </c>
      <c r="AN46" s="0" t="s">
        <v>3</v>
      </c>
      <c r="AO46" s="0" t="n">
        <v>11.024158</v>
      </c>
      <c r="AP46" s="0" t="n">
        <v>-1</v>
      </c>
      <c r="AQ46" s="0" t="n">
        <v>1</v>
      </c>
      <c r="AS46" s="2" t="str">
        <f aca="false">IF(AND(G46="true",J46="true",M46="true",P46="true",S46="true"),"true","false")</f>
        <v>false</v>
      </c>
      <c r="AT46" s="0" t="str">
        <f aca="false">IF(AND(Y46="true",AB46="true",AE46="true",AH46="true",AK46="true"),"true","false")</f>
        <v>false</v>
      </c>
    </row>
    <row r="47" customFormat="false" ht="12.8" hidden="false" customHeight="false" outlineLevel="0" collapsed="false">
      <c r="A47" s="0" t="s">
        <v>107</v>
      </c>
      <c r="B47" s="0" t="s">
        <v>1</v>
      </c>
      <c r="C47" s="0" t="s">
        <v>11</v>
      </c>
      <c r="D47" s="0" t="s">
        <v>3</v>
      </c>
      <c r="E47" s="0" t="n">
        <v>21.18991</v>
      </c>
      <c r="F47" s="0" t="s">
        <v>12</v>
      </c>
      <c r="G47" s="1" t="s">
        <v>6</v>
      </c>
      <c r="H47" s="0" t="n">
        <v>9.28994</v>
      </c>
      <c r="I47" s="0" t="s">
        <v>18</v>
      </c>
      <c r="J47" s="1" t="s">
        <v>6</v>
      </c>
      <c r="K47" s="0" t="n">
        <v>22.244938</v>
      </c>
      <c r="L47" s="0" t="s">
        <v>17</v>
      </c>
      <c r="M47" s="1" t="s">
        <v>6</v>
      </c>
      <c r="N47" s="0" t="n">
        <v>41.766368</v>
      </c>
      <c r="O47" s="0" t="s">
        <v>44</v>
      </c>
      <c r="P47" s="1" t="s">
        <v>6</v>
      </c>
      <c r="Q47" s="0" t="n">
        <v>22.635289</v>
      </c>
      <c r="R47" s="0" t="s">
        <v>15</v>
      </c>
      <c r="S47" s="1" t="s">
        <v>6</v>
      </c>
      <c r="T47" s="0" t="s">
        <v>10</v>
      </c>
      <c r="U47" s="0" t="s">
        <v>2</v>
      </c>
      <c r="V47" s="0" t="s">
        <v>3</v>
      </c>
      <c r="W47" s="0" t="n">
        <v>3.320748</v>
      </c>
      <c r="Y47" s="1" t="s">
        <v>6</v>
      </c>
      <c r="Z47" s="0" t="n">
        <v>0.743363</v>
      </c>
      <c r="AB47" s="1" t="s">
        <v>6</v>
      </c>
      <c r="AC47" s="0" t="n">
        <v>0.594501</v>
      </c>
      <c r="AE47" s="1" t="s">
        <v>6</v>
      </c>
      <c r="AF47" s="0" t="n">
        <v>0.724542</v>
      </c>
      <c r="AH47" s="1" t="s">
        <v>6</v>
      </c>
      <c r="AI47" s="0" t="n">
        <v>0.841011</v>
      </c>
      <c r="AK47" s="1" t="s">
        <v>6</v>
      </c>
      <c r="AL47" s="0" t="s">
        <v>11</v>
      </c>
      <c r="AM47" s="0" t="s">
        <v>2</v>
      </c>
      <c r="AN47" s="0" t="s">
        <v>3</v>
      </c>
      <c r="AO47" s="0" t="n">
        <v>3.718022</v>
      </c>
      <c r="AS47" s="2" t="str">
        <f aca="false">IF(AND(G47="true",J47="true",M47="true",P47="true",S47="true"),"true","false")</f>
        <v>false</v>
      </c>
      <c r="AT47" s="0" t="str">
        <f aca="false">IF(AND(Y47="true",AB47="true",AE47="true",AH47="true",AK47="true"),"true","false")</f>
        <v>false</v>
      </c>
    </row>
    <row r="48" customFormat="false" ht="12.8" hidden="false" customHeight="false" outlineLevel="0" collapsed="false">
      <c r="A48" s="0" t="s">
        <v>108</v>
      </c>
      <c r="B48" s="0" t="s">
        <v>1</v>
      </c>
      <c r="C48" s="0" t="s">
        <v>11</v>
      </c>
      <c r="D48" s="0" t="s">
        <v>3</v>
      </c>
      <c r="E48" s="0" t="n">
        <v>5.995161</v>
      </c>
      <c r="F48" s="0" t="s">
        <v>21</v>
      </c>
      <c r="G48" s="1" t="s">
        <v>5</v>
      </c>
      <c r="H48" s="0" t="n">
        <v>10.798273</v>
      </c>
      <c r="I48" s="0" t="s">
        <v>17</v>
      </c>
      <c r="J48" s="1" t="s">
        <v>5</v>
      </c>
      <c r="K48" s="0" t="n">
        <v>2.781596</v>
      </c>
      <c r="L48" s="0" t="s">
        <v>12</v>
      </c>
      <c r="M48" s="1" t="s">
        <v>5</v>
      </c>
      <c r="N48" s="0" t="n">
        <v>33.658802</v>
      </c>
      <c r="O48" s="0" t="s">
        <v>19</v>
      </c>
      <c r="P48" s="1" t="s">
        <v>5</v>
      </c>
      <c r="Q48" s="0" t="n">
        <v>45.584706</v>
      </c>
      <c r="R48" s="0" t="s">
        <v>9</v>
      </c>
      <c r="S48" s="1" t="s">
        <v>6</v>
      </c>
      <c r="T48" s="0" t="s">
        <v>10</v>
      </c>
      <c r="U48" s="0" t="s">
        <v>2</v>
      </c>
      <c r="V48" s="0" t="s">
        <v>3</v>
      </c>
      <c r="W48" s="0" t="n">
        <v>18.103786</v>
      </c>
      <c r="X48" s="0" t="s">
        <v>4</v>
      </c>
      <c r="Y48" s="1" t="s">
        <v>5</v>
      </c>
      <c r="Z48" s="0" t="n">
        <v>54.224401</v>
      </c>
      <c r="AA48" s="0" t="s">
        <v>46</v>
      </c>
      <c r="AB48" s="1" t="s">
        <v>6</v>
      </c>
      <c r="AC48" s="0" t="n">
        <v>11.037765</v>
      </c>
      <c r="AD48" s="0" t="s">
        <v>7</v>
      </c>
      <c r="AE48" s="1" t="s">
        <v>6</v>
      </c>
      <c r="AF48" s="0" t="n">
        <v>0.288049</v>
      </c>
      <c r="AH48" s="1" t="s">
        <v>6</v>
      </c>
      <c r="AI48" s="0" t="n">
        <v>39.804377</v>
      </c>
      <c r="AJ48" s="0" t="s">
        <v>9</v>
      </c>
      <c r="AK48" s="1" t="s">
        <v>5</v>
      </c>
      <c r="AL48" s="0" t="s">
        <v>11</v>
      </c>
      <c r="AM48" s="0" t="s">
        <v>2</v>
      </c>
      <c r="AN48" s="0" t="s">
        <v>3</v>
      </c>
      <c r="AO48" s="0" t="n">
        <v>52.111354</v>
      </c>
      <c r="AP48" s="0" t="n">
        <v>1</v>
      </c>
      <c r="AQ48" s="0" t="n">
        <v>-1</v>
      </c>
      <c r="AR48" s="0" t="s">
        <v>109</v>
      </c>
      <c r="AS48" s="2" t="str">
        <f aca="false">IF(AND(G48="true",J48="true",M48="true",P48="true",S48="true"),"true","false")</f>
        <v>false</v>
      </c>
      <c r="AT48" s="0" t="str">
        <f aca="false">IF(AND(Y48="true",AB48="true",AE48="true",AH48="true",AK48="true"),"true","false")</f>
        <v>false</v>
      </c>
    </row>
    <row r="49" customFormat="false" ht="23.85" hidden="false" customHeight="false" outlineLevel="0" collapsed="false">
      <c r="A49" s="0" t="s">
        <v>110</v>
      </c>
      <c r="B49" s="0" t="s">
        <v>1</v>
      </c>
      <c r="C49" s="0" t="s">
        <v>11</v>
      </c>
      <c r="D49" s="0" t="s">
        <v>3</v>
      </c>
      <c r="E49" s="0" t="n">
        <v>43.957988</v>
      </c>
      <c r="F49" s="0" t="s">
        <v>21</v>
      </c>
      <c r="G49" s="1" t="s">
        <v>5</v>
      </c>
      <c r="H49" s="0" t="n">
        <v>35.080305</v>
      </c>
      <c r="I49" s="0" t="s">
        <v>17</v>
      </c>
      <c r="J49" s="1" t="s">
        <v>5</v>
      </c>
      <c r="K49" s="0" t="n">
        <v>9.295851</v>
      </c>
      <c r="L49" s="0" t="s">
        <v>12</v>
      </c>
      <c r="M49" s="1" t="s">
        <v>5</v>
      </c>
      <c r="N49" s="0" t="n">
        <v>67.7228</v>
      </c>
      <c r="O49" s="0" t="s">
        <v>111</v>
      </c>
      <c r="P49" s="1" t="s">
        <v>6</v>
      </c>
      <c r="Q49" s="0" t="n">
        <v>17.573951</v>
      </c>
      <c r="R49" s="0" t="s">
        <v>15</v>
      </c>
      <c r="S49" s="1" t="s">
        <v>6</v>
      </c>
      <c r="T49" s="0" t="s">
        <v>10</v>
      </c>
      <c r="U49" s="0" t="s">
        <v>2</v>
      </c>
      <c r="V49" s="0" t="s">
        <v>3</v>
      </c>
      <c r="W49" s="0" t="n">
        <v>34.417916</v>
      </c>
      <c r="X49" s="0" t="s">
        <v>82</v>
      </c>
      <c r="Y49" s="1" t="s">
        <v>6</v>
      </c>
      <c r="Z49" s="0" t="n">
        <v>55.139548</v>
      </c>
      <c r="AA49" s="0" t="s">
        <v>81</v>
      </c>
      <c r="AB49" s="1" t="s">
        <v>6</v>
      </c>
      <c r="AC49" s="0" t="n">
        <v>25.4845</v>
      </c>
      <c r="AD49" s="0" t="s">
        <v>4</v>
      </c>
      <c r="AE49" s="1" t="s">
        <v>5</v>
      </c>
      <c r="AF49" s="0" t="n">
        <v>34.326679</v>
      </c>
      <c r="AG49" s="0" t="s">
        <v>8</v>
      </c>
      <c r="AH49" s="1" t="s">
        <v>5</v>
      </c>
      <c r="AI49" s="0" t="n">
        <v>29.952012</v>
      </c>
      <c r="AJ49" s="0" t="s">
        <v>51</v>
      </c>
      <c r="AK49" s="1" t="s">
        <v>6</v>
      </c>
      <c r="AL49" s="0" t="s">
        <v>11</v>
      </c>
      <c r="AM49" s="0" t="s">
        <v>2</v>
      </c>
      <c r="AN49" s="0" t="s">
        <v>3</v>
      </c>
      <c r="AO49" s="0" t="n">
        <v>49.676248</v>
      </c>
      <c r="AP49" s="0" t="n">
        <v>-1</v>
      </c>
      <c r="AQ49" s="0" t="n">
        <v>-1</v>
      </c>
      <c r="AR49" s="3" t="s">
        <v>112</v>
      </c>
      <c r="AS49" s="2" t="str">
        <f aca="false">IF(AND(G49="true",J49="true",M49="true",P49="true",S49="true"),"true","false")</f>
        <v>false</v>
      </c>
      <c r="AT49" s="0" t="str">
        <f aca="false">IF(AND(Y49="true",AB49="true",AE49="true",AH49="true",AK49="true"),"true","false")</f>
        <v>false</v>
      </c>
    </row>
    <row r="50" customFormat="false" ht="12.8" hidden="false" customHeight="false" outlineLevel="0" collapsed="false">
      <c r="A50" s="0" t="s">
        <v>113</v>
      </c>
      <c r="B50" s="0" t="s">
        <v>1</v>
      </c>
      <c r="C50" s="0" t="s">
        <v>11</v>
      </c>
      <c r="D50" s="0" t="s">
        <v>3</v>
      </c>
      <c r="E50" s="0" t="n">
        <v>15.071499</v>
      </c>
      <c r="F50" s="0" t="s">
        <v>21</v>
      </c>
      <c r="G50" s="1" t="s">
        <v>5</v>
      </c>
      <c r="H50" s="0" t="n">
        <v>12.468681</v>
      </c>
      <c r="I50" s="0" t="s">
        <v>17</v>
      </c>
      <c r="J50" s="1" t="s">
        <v>5</v>
      </c>
      <c r="K50" s="0" t="n">
        <v>7.718476</v>
      </c>
      <c r="L50" s="0" t="s">
        <v>12</v>
      </c>
      <c r="M50" s="1" t="s">
        <v>5</v>
      </c>
      <c r="N50" s="0" t="n">
        <v>27.871335</v>
      </c>
      <c r="O50" s="0" t="s">
        <v>22</v>
      </c>
      <c r="P50" s="1" t="s">
        <v>6</v>
      </c>
      <c r="Q50" s="0" t="n">
        <v>24.431433</v>
      </c>
      <c r="R50" s="0" t="s">
        <v>15</v>
      </c>
      <c r="S50" s="1" t="s">
        <v>6</v>
      </c>
      <c r="T50" s="0" t="s">
        <v>10</v>
      </c>
      <c r="U50" s="0" t="s">
        <v>2</v>
      </c>
      <c r="V50" s="0" t="s">
        <v>3</v>
      </c>
      <c r="W50" s="0" t="n">
        <v>39.426678</v>
      </c>
      <c r="X50" s="0" t="s">
        <v>4</v>
      </c>
      <c r="Y50" s="1" t="s">
        <v>5</v>
      </c>
      <c r="Z50" s="0" t="n">
        <v>13.501666</v>
      </c>
      <c r="AA50" s="0" t="s">
        <v>7</v>
      </c>
      <c r="AB50" s="1" t="s">
        <v>5</v>
      </c>
      <c r="AC50" s="0" t="n">
        <v>6.946736</v>
      </c>
      <c r="AD50" s="0" t="s">
        <v>46</v>
      </c>
      <c r="AE50" s="1" t="s">
        <v>6</v>
      </c>
      <c r="AF50" s="0" t="n">
        <v>15.952464</v>
      </c>
      <c r="AG50" s="0" t="s">
        <v>114</v>
      </c>
      <c r="AH50" s="1" t="s">
        <v>6</v>
      </c>
      <c r="AI50" s="0" t="n">
        <v>15.29838</v>
      </c>
      <c r="AJ50" s="0" t="s">
        <v>9</v>
      </c>
      <c r="AK50" s="1" t="s">
        <v>5</v>
      </c>
      <c r="AL50" s="0" t="s">
        <v>11</v>
      </c>
      <c r="AM50" s="0" t="s">
        <v>2</v>
      </c>
      <c r="AN50" s="0" t="s">
        <v>3</v>
      </c>
      <c r="AO50" s="0" t="n">
        <v>75.28099</v>
      </c>
      <c r="AP50" s="0" t="n">
        <v>2</v>
      </c>
      <c r="AQ50" s="0" t="n">
        <v>-1</v>
      </c>
      <c r="AR50" s="0" t="s">
        <v>115</v>
      </c>
      <c r="AS50" s="2" t="str">
        <f aca="false">IF(AND(G50="true",J50="true",M50="true",P50="true",S50="true"),"true","false")</f>
        <v>false</v>
      </c>
      <c r="AT50" s="0" t="str">
        <f aca="false">IF(AND(Y50="true",AB50="true",AE50="true",AH50="true",AK50="true"),"true","false")</f>
        <v>false</v>
      </c>
    </row>
    <row r="51" customFormat="false" ht="12.8" hidden="false" customHeight="false" outlineLevel="0" collapsed="false">
      <c r="A51" s="0" t="s">
        <v>116</v>
      </c>
      <c r="B51" s="0" t="s">
        <v>1</v>
      </c>
      <c r="C51" s="0" t="s">
        <v>2</v>
      </c>
      <c r="D51" s="0" t="s">
        <v>3</v>
      </c>
      <c r="E51" s="0" t="n">
        <v>29.85818</v>
      </c>
      <c r="F51" s="0" t="s">
        <v>4</v>
      </c>
      <c r="G51" s="1" t="s">
        <v>5</v>
      </c>
      <c r="H51" s="0" t="n">
        <v>12.803096</v>
      </c>
      <c r="I51" s="0" t="s">
        <v>7</v>
      </c>
      <c r="J51" s="1" t="s">
        <v>5</v>
      </c>
      <c r="K51" s="0" t="n">
        <v>7.215713</v>
      </c>
      <c r="L51" s="0" t="s">
        <v>4</v>
      </c>
      <c r="M51" s="1" t="s">
        <v>5</v>
      </c>
      <c r="N51" s="0" t="n">
        <v>18.782631</v>
      </c>
      <c r="O51" s="0" t="s">
        <v>8</v>
      </c>
      <c r="P51" s="1" t="s">
        <v>5</v>
      </c>
      <c r="Q51" s="0" t="n">
        <v>46.953572</v>
      </c>
      <c r="R51" s="0" t="s">
        <v>15</v>
      </c>
      <c r="S51" s="1" t="s">
        <v>6</v>
      </c>
      <c r="T51" s="0" t="s">
        <v>10</v>
      </c>
      <c r="U51" s="0" t="s">
        <v>11</v>
      </c>
      <c r="V51" s="0" t="s">
        <v>3</v>
      </c>
      <c r="W51" s="0" t="n">
        <v>15.924711</v>
      </c>
      <c r="X51" s="0" t="s">
        <v>21</v>
      </c>
      <c r="Y51" s="1" t="s">
        <v>5</v>
      </c>
      <c r="Z51" s="0" t="n">
        <v>6.468197</v>
      </c>
      <c r="AA51" s="0" t="s">
        <v>17</v>
      </c>
      <c r="AB51" s="1" t="s">
        <v>5</v>
      </c>
      <c r="AC51" s="0" t="n">
        <v>5.064452</v>
      </c>
      <c r="AD51" s="0" t="s">
        <v>12</v>
      </c>
      <c r="AE51" s="1" t="s">
        <v>5</v>
      </c>
      <c r="AF51" s="0" t="n">
        <v>62.864352</v>
      </c>
      <c r="AG51" s="0" t="s">
        <v>22</v>
      </c>
      <c r="AH51" s="1" t="s">
        <v>6</v>
      </c>
      <c r="AI51" s="0" t="n">
        <v>4.633873</v>
      </c>
      <c r="AJ51" s="0" t="s">
        <v>15</v>
      </c>
      <c r="AK51" s="1" t="s">
        <v>5</v>
      </c>
      <c r="AL51" s="0" t="s">
        <v>2</v>
      </c>
      <c r="AM51" s="0" t="s">
        <v>11</v>
      </c>
      <c r="AN51" s="0" t="s">
        <v>3</v>
      </c>
      <c r="AO51" s="0" t="n">
        <v>74.984406</v>
      </c>
      <c r="AP51" s="0" t="n">
        <v>1</v>
      </c>
      <c r="AQ51" s="0" t="n">
        <v>2</v>
      </c>
      <c r="AR51" s="0" t="s">
        <v>117</v>
      </c>
      <c r="AS51" s="2" t="str">
        <f aca="false">IF(AND(G51="true",J51="true",M51="true",P51="true",S51="true"),"true","false")</f>
        <v>false</v>
      </c>
      <c r="AT51" s="0" t="str">
        <f aca="false">IF(AND(Y51="true",AB51="true",AE51="true",AH51="true",AK51="true"),"true","false")</f>
        <v>false</v>
      </c>
    </row>
    <row r="52" customFormat="false" ht="12.8" hidden="false" customHeight="false" outlineLevel="0" collapsed="false">
      <c r="A52" s="0" t="s">
        <v>118</v>
      </c>
      <c r="B52" s="0" t="s">
        <v>1</v>
      </c>
      <c r="C52" s="0" t="s">
        <v>11</v>
      </c>
      <c r="D52" s="0" t="s">
        <v>3</v>
      </c>
      <c r="E52" s="0" t="n">
        <v>20.74896</v>
      </c>
      <c r="F52" s="0" t="s">
        <v>21</v>
      </c>
      <c r="G52" s="1" t="s">
        <v>5</v>
      </c>
      <c r="H52" s="0" t="n">
        <v>21.042585</v>
      </c>
      <c r="I52" s="0" t="s">
        <v>12</v>
      </c>
      <c r="J52" s="1" t="s">
        <v>6</v>
      </c>
      <c r="K52" s="0" t="n">
        <v>50.965244</v>
      </c>
      <c r="L52" s="0" t="s">
        <v>119</v>
      </c>
      <c r="M52" s="1" t="s">
        <v>6</v>
      </c>
      <c r="N52" s="0" t="n">
        <v>42.569678</v>
      </c>
      <c r="O52" s="0" t="s">
        <v>65</v>
      </c>
      <c r="P52" s="1" t="s">
        <v>6</v>
      </c>
      <c r="Q52" s="0" t="n">
        <v>7.286097</v>
      </c>
      <c r="R52" s="0" t="s">
        <v>51</v>
      </c>
      <c r="S52" s="1" t="s">
        <v>5</v>
      </c>
      <c r="T52" s="0" t="s">
        <v>10</v>
      </c>
      <c r="U52" s="0" t="s">
        <v>2</v>
      </c>
      <c r="V52" s="0" t="s">
        <v>3</v>
      </c>
      <c r="W52" s="0" t="n">
        <v>20.537933</v>
      </c>
      <c r="X52" s="0" t="s">
        <v>4</v>
      </c>
      <c r="Y52" s="1" t="s">
        <v>5</v>
      </c>
      <c r="Z52" s="0" t="n">
        <v>15.069581</v>
      </c>
      <c r="AA52" s="0" t="s">
        <v>4</v>
      </c>
      <c r="AB52" s="1" t="s">
        <v>6</v>
      </c>
      <c r="AC52" s="0" t="n">
        <v>10.291249</v>
      </c>
      <c r="AD52" s="0" t="s">
        <v>7</v>
      </c>
      <c r="AE52" s="1" t="s">
        <v>6</v>
      </c>
      <c r="AF52" s="0" t="n">
        <v>32.407174</v>
      </c>
      <c r="AG52" s="0" t="s">
        <v>8</v>
      </c>
      <c r="AH52" s="1" t="s">
        <v>5</v>
      </c>
      <c r="AI52" s="0" t="n">
        <v>17.436562</v>
      </c>
      <c r="AJ52" s="0" t="s">
        <v>15</v>
      </c>
      <c r="AK52" s="1" t="s">
        <v>6</v>
      </c>
      <c r="AL52" s="0" t="s">
        <v>11</v>
      </c>
      <c r="AM52" s="0" t="s">
        <v>2</v>
      </c>
      <c r="AN52" s="0" t="s">
        <v>3</v>
      </c>
      <c r="AO52" s="0" t="n">
        <v>14.28542</v>
      </c>
      <c r="AP52" s="0" t="n">
        <v>-1</v>
      </c>
      <c r="AQ52" s="0" t="n">
        <v>1</v>
      </c>
      <c r="AS52" s="2" t="str">
        <f aca="false">IF(AND(G52="true",J52="true",M52="true",P52="true",S52="true"),"true","false")</f>
        <v>false</v>
      </c>
      <c r="AT52" s="0" t="str">
        <f aca="false">IF(AND(Y52="true",AB52="true",AE52="true",AH52="true",AK52="true"),"true","false")</f>
        <v>false</v>
      </c>
    </row>
    <row r="53" customFormat="false" ht="12.8" hidden="false" customHeight="false" outlineLevel="0" collapsed="false">
      <c r="A53" s="0" t="s">
        <v>120</v>
      </c>
      <c r="B53" s="0" t="s">
        <v>1</v>
      </c>
      <c r="C53" s="0" t="s">
        <v>2</v>
      </c>
      <c r="D53" s="0" t="s">
        <v>3</v>
      </c>
      <c r="E53" s="0" t="n">
        <v>19.289229</v>
      </c>
      <c r="F53" s="0" t="s">
        <v>4</v>
      </c>
      <c r="G53" s="1" t="s">
        <v>5</v>
      </c>
      <c r="H53" s="0" t="n">
        <v>10.602186</v>
      </c>
      <c r="I53" s="0" t="s">
        <v>7</v>
      </c>
      <c r="J53" s="1" t="s">
        <v>5</v>
      </c>
      <c r="K53" s="0" t="n">
        <v>7.493374</v>
      </c>
      <c r="L53" s="0" t="s">
        <v>4</v>
      </c>
      <c r="M53" s="1" t="s">
        <v>5</v>
      </c>
      <c r="N53" s="0" t="n">
        <v>15.122479</v>
      </c>
      <c r="O53" s="0" t="s">
        <v>8</v>
      </c>
      <c r="P53" s="1" t="s">
        <v>5</v>
      </c>
      <c r="Q53" s="0" t="n">
        <v>10.325748</v>
      </c>
      <c r="R53" s="0" t="s">
        <v>15</v>
      </c>
      <c r="S53" s="1" t="s">
        <v>6</v>
      </c>
      <c r="T53" s="0" t="s">
        <v>10</v>
      </c>
      <c r="U53" s="0" t="s">
        <v>11</v>
      </c>
      <c r="V53" s="0" t="s">
        <v>3</v>
      </c>
      <c r="W53" s="0" t="n">
        <v>28.37467</v>
      </c>
      <c r="X53" s="0" t="s">
        <v>21</v>
      </c>
      <c r="Y53" s="1" t="s">
        <v>5</v>
      </c>
      <c r="Z53" s="0" t="n">
        <v>55.486214</v>
      </c>
      <c r="AA53" s="0" t="s">
        <v>17</v>
      </c>
      <c r="AB53" s="1" t="s">
        <v>5</v>
      </c>
      <c r="AC53" s="0" t="n">
        <v>17.988841</v>
      </c>
      <c r="AD53" s="0" t="s">
        <v>17</v>
      </c>
      <c r="AE53" s="1" t="s">
        <v>6</v>
      </c>
      <c r="AF53" s="0" t="n">
        <v>44.226864</v>
      </c>
      <c r="AG53" s="0" t="s">
        <v>19</v>
      </c>
      <c r="AH53" s="1" t="s">
        <v>5</v>
      </c>
      <c r="AI53" s="0" t="n">
        <v>17.118154</v>
      </c>
      <c r="AJ53" s="0" t="s">
        <v>15</v>
      </c>
      <c r="AK53" s="1" t="s">
        <v>5</v>
      </c>
      <c r="AL53" s="0" t="s">
        <v>2</v>
      </c>
      <c r="AM53" s="0" t="s">
        <v>11</v>
      </c>
      <c r="AN53" s="0" t="s">
        <v>3</v>
      </c>
      <c r="AO53" s="0" t="n">
        <v>11.997411</v>
      </c>
      <c r="AP53" s="0" t="n">
        <v>2</v>
      </c>
      <c r="AQ53" s="0" t="n">
        <v>-1</v>
      </c>
      <c r="AS53" s="2" t="str">
        <f aca="false">IF(AND(G53="true",J53="true",M53="true",P53="true",S53="true"),"true","false")</f>
        <v>false</v>
      </c>
      <c r="AT53" s="0" t="str">
        <f aca="false">IF(AND(Y53="true",AB53="true",AE53="true",AH53="true",AK53="true"),"true","false")</f>
        <v>false</v>
      </c>
    </row>
    <row r="54" customFormat="false" ht="12.8" hidden="false" customHeight="false" outlineLevel="0" collapsed="false">
      <c r="A54" s="0" t="s">
        <v>121</v>
      </c>
      <c r="B54" s="0" t="s">
        <v>1</v>
      </c>
      <c r="C54" s="0" t="s">
        <v>11</v>
      </c>
      <c r="D54" s="0" t="s">
        <v>3</v>
      </c>
      <c r="E54" s="0" t="n">
        <v>48.547927</v>
      </c>
      <c r="F54" s="0" t="s">
        <v>21</v>
      </c>
      <c r="G54" s="1" t="s">
        <v>5</v>
      </c>
      <c r="H54" s="0" t="n">
        <v>22.423498</v>
      </c>
      <c r="I54" s="0" t="s">
        <v>12</v>
      </c>
      <c r="J54" s="1" t="s">
        <v>6</v>
      </c>
      <c r="K54" s="0" t="n">
        <v>7.972158</v>
      </c>
      <c r="L54" s="0" t="s">
        <v>17</v>
      </c>
      <c r="M54" s="1" t="s">
        <v>6</v>
      </c>
      <c r="N54" s="0" t="n">
        <v>33.571534</v>
      </c>
      <c r="O54" s="0" t="s">
        <v>19</v>
      </c>
      <c r="P54" s="1" t="s">
        <v>5</v>
      </c>
      <c r="Q54" s="0" t="n">
        <v>23.745027</v>
      </c>
      <c r="R54" s="0" t="s">
        <v>9</v>
      </c>
      <c r="S54" s="1" t="s">
        <v>6</v>
      </c>
      <c r="T54" s="0" t="s">
        <v>10</v>
      </c>
      <c r="U54" s="0" t="s">
        <v>2</v>
      </c>
      <c r="V54" s="0" t="s">
        <v>3</v>
      </c>
      <c r="W54" s="0" t="n">
        <v>51.422433</v>
      </c>
      <c r="X54" s="0" t="s">
        <v>7</v>
      </c>
      <c r="Y54" s="1" t="s">
        <v>6</v>
      </c>
      <c r="Z54" s="0" t="n">
        <v>12.123406</v>
      </c>
      <c r="AA54" s="0" t="s">
        <v>7</v>
      </c>
      <c r="AB54" s="1" t="s">
        <v>5</v>
      </c>
      <c r="AC54" s="0" t="n">
        <v>9.139312</v>
      </c>
      <c r="AD54" s="0" t="s">
        <v>82</v>
      </c>
      <c r="AE54" s="1" t="s">
        <v>6</v>
      </c>
      <c r="AF54" s="0" t="n">
        <v>25.41336</v>
      </c>
      <c r="AG54" s="0" t="s">
        <v>122</v>
      </c>
      <c r="AH54" s="1" t="s">
        <v>6</v>
      </c>
      <c r="AI54" s="0" t="n">
        <v>8.436731</v>
      </c>
      <c r="AJ54" s="0" t="s">
        <v>15</v>
      </c>
      <c r="AK54" s="1" t="s">
        <v>6</v>
      </c>
      <c r="AL54" s="0" t="s">
        <v>11</v>
      </c>
      <c r="AM54" s="0" t="s">
        <v>2</v>
      </c>
      <c r="AN54" s="0" t="s">
        <v>3</v>
      </c>
      <c r="AO54" s="0" t="n">
        <v>14.636316</v>
      </c>
      <c r="AP54" s="0" t="n">
        <v>0</v>
      </c>
      <c r="AQ54" s="0" t="n">
        <v>-2</v>
      </c>
      <c r="AS54" s="2" t="str">
        <f aca="false">IF(AND(G54="true",J54="true",M54="true",P54="true",S54="true"),"true","false")</f>
        <v>false</v>
      </c>
      <c r="AT54" s="0" t="str">
        <f aca="false">IF(AND(Y54="true",AB54="true",AE54="true",AH54="true",AK54="true"),"true","false")</f>
        <v>false</v>
      </c>
    </row>
    <row r="55" customFormat="false" ht="12.8" hidden="false" customHeight="false" outlineLevel="0" collapsed="false">
      <c r="A55" s="0" t="s">
        <v>123</v>
      </c>
      <c r="B55" s="0" t="s">
        <v>1</v>
      </c>
      <c r="C55" s="0" t="s">
        <v>11</v>
      </c>
      <c r="D55" s="0" t="s">
        <v>3</v>
      </c>
      <c r="E55" s="0" t="n">
        <v>19.566621</v>
      </c>
      <c r="F55" s="0" t="s">
        <v>21</v>
      </c>
      <c r="G55" s="1" t="s">
        <v>5</v>
      </c>
      <c r="H55" s="0" t="n">
        <v>8.673308</v>
      </c>
      <c r="I55" s="0" t="s">
        <v>17</v>
      </c>
      <c r="J55" s="1" t="s">
        <v>5</v>
      </c>
      <c r="K55" s="0" t="n">
        <v>5.079783</v>
      </c>
      <c r="L55" s="0" t="s">
        <v>12</v>
      </c>
      <c r="M55" s="1" t="s">
        <v>5</v>
      </c>
      <c r="N55" s="0" t="n">
        <v>29.510091</v>
      </c>
      <c r="O55" s="0" t="s">
        <v>22</v>
      </c>
      <c r="P55" s="1" t="s">
        <v>6</v>
      </c>
      <c r="Q55" s="0" t="n">
        <v>12.201455</v>
      </c>
      <c r="R55" s="0" t="s">
        <v>15</v>
      </c>
      <c r="S55" s="1" t="s">
        <v>6</v>
      </c>
      <c r="T55" s="0" t="s">
        <v>10</v>
      </c>
      <c r="U55" s="0" t="s">
        <v>2</v>
      </c>
      <c r="V55" s="0" t="s">
        <v>3</v>
      </c>
      <c r="W55" s="0" t="n">
        <v>20.738092</v>
      </c>
      <c r="X55" s="0" t="s">
        <v>4</v>
      </c>
      <c r="Y55" s="1" t="s">
        <v>5</v>
      </c>
      <c r="Z55" s="0" t="n">
        <v>14.831281</v>
      </c>
      <c r="AA55" s="0" t="s">
        <v>4</v>
      </c>
      <c r="AB55" s="1" t="s">
        <v>6</v>
      </c>
      <c r="AC55" s="0" t="n">
        <v>5.702922</v>
      </c>
      <c r="AD55" s="0" t="s">
        <v>7</v>
      </c>
      <c r="AE55" s="1" t="s">
        <v>6</v>
      </c>
      <c r="AF55" s="0" t="n">
        <v>22.70151</v>
      </c>
      <c r="AG55" s="0" t="s">
        <v>8</v>
      </c>
      <c r="AH55" s="1" t="s">
        <v>5</v>
      </c>
      <c r="AI55" s="0" t="n">
        <v>20.983741</v>
      </c>
      <c r="AJ55" s="0" t="s">
        <v>15</v>
      </c>
      <c r="AK55" s="1" t="s">
        <v>6</v>
      </c>
      <c r="AL55" s="0" t="s">
        <v>11</v>
      </c>
      <c r="AM55" s="0" t="s">
        <v>2</v>
      </c>
      <c r="AN55" s="0" t="s">
        <v>3</v>
      </c>
      <c r="AO55" s="0" t="n">
        <v>50.021993</v>
      </c>
      <c r="AP55" s="0" t="n">
        <v>0</v>
      </c>
      <c r="AQ55" s="0" t="n">
        <v>2</v>
      </c>
      <c r="AR55" s="0" t="s">
        <v>124</v>
      </c>
      <c r="AS55" s="2" t="str">
        <f aca="false">IF(AND(G55="true",J55="true",M55="true",P55="true",S55="true"),"true","false")</f>
        <v>false</v>
      </c>
      <c r="AT55" s="0" t="str">
        <f aca="false">IF(AND(Y55="true",AB55="true",AE55="true",AH55="true",AK55="true"),"true","false")</f>
        <v>false</v>
      </c>
    </row>
    <row r="56" customFormat="false" ht="12.8" hidden="false" customHeight="false" outlineLevel="0" collapsed="false">
      <c r="A56" s="0" t="s">
        <v>125</v>
      </c>
      <c r="B56" s="0" t="s">
        <v>1</v>
      </c>
      <c r="C56" s="0" t="s">
        <v>2</v>
      </c>
      <c r="D56" s="0" t="s">
        <v>3</v>
      </c>
      <c r="E56" s="0" t="n">
        <v>24.97627</v>
      </c>
      <c r="F56" s="0" t="s">
        <v>4</v>
      </c>
      <c r="G56" s="1" t="s">
        <v>5</v>
      </c>
      <c r="H56" s="0" t="n">
        <v>26.416424</v>
      </c>
      <c r="I56" s="0" t="s">
        <v>7</v>
      </c>
      <c r="J56" s="1" t="s">
        <v>5</v>
      </c>
      <c r="K56" s="0" t="n">
        <v>7.801129</v>
      </c>
      <c r="L56" s="0" t="s">
        <v>4</v>
      </c>
      <c r="M56" s="1" t="s">
        <v>5</v>
      </c>
      <c r="N56" s="0" t="n">
        <v>44.735944</v>
      </c>
      <c r="O56" s="0" t="s">
        <v>8</v>
      </c>
      <c r="P56" s="1" t="s">
        <v>5</v>
      </c>
      <c r="Q56" s="0" t="n">
        <v>65.028971</v>
      </c>
      <c r="R56" s="0" t="s">
        <v>9</v>
      </c>
      <c r="S56" s="1" t="s">
        <v>6</v>
      </c>
      <c r="T56" s="0" t="s">
        <v>10</v>
      </c>
      <c r="U56" s="0" t="s">
        <v>11</v>
      </c>
      <c r="V56" s="0" t="s">
        <v>3</v>
      </c>
      <c r="W56" s="0" t="n">
        <v>29.185596</v>
      </c>
      <c r="X56" s="0" t="s">
        <v>35</v>
      </c>
      <c r="Y56" s="1" t="s">
        <v>6</v>
      </c>
      <c r="Z56" s="0" t="n">
        <v>22.639195</v>
      </c>
      <c r="AA56" s="0" t="s">
        <v>17</v>
      </c>
      <c r="AB56" s="1" t="s">
        <v>5</v>
      </c>
      <c r="AC56" s="0" t="n">
        <v>10.623948</v>
      </c>
      <c r="AD56" s="0" t="s">
        <v>12</v>
      </c>
      <c r="AE56" s="1" t="s">
        <v>5</v>
      </c>
      <c r="AF56" s="0" t="n">
        <v>40.013827</v>
      </c>
      <c r="AG56" s="0" t="s">
        <v>22</v>
      </c>
      <c r="AH56" s="1" t="s">
        <v>6</v>
      </c>
      <c r="AI56" s="0" t="n">
        <v>5.525984</v>
      </c>
      <c r="AJ56" s="0" t="s">
        <v>15</v>
      </c>
      <c r="AK56" s="1" t="s">
        <v>5</v>
      </c>
      <c r="AL56" s="0" t="s">
        <v>2</v>
      </c>
      <c r="AM56" s="0" t="s">
        <v>11</v>
      </c>
      <c r="AN56" s="0" t="s">
        <v>3</v>
      </c>
      <c r="AO56" s="0" t="n">
        <v>106.587333</v>
      </c>
      <c r="AP56" s="0" t="n">
        <v>-1</v>
      </c>
      <c r="AQ56" s="0" t="n">
        <v>1</v>
      </c>
      <c r="AR56" s="0" t="s">
        <v>126</v>
      </c>
      <c r="AS56" s="2" t="str">
        <f aca="false">IF(AND(G56="true",J56="true",M56="true",P56="true",S56="true"),"true","false")</f>
        <v>false</v>
      </c>
      <c r="AT56" s="0" t="str">
        <f aca="false">IF(AND(Y56="true",AB56="true",AE56="true",AH56="true",AK56="true"),"true","false")</f>
        <v>false</v>
      </c>
    </row>
    <row r="57" customFormat="false" ht="12.8" hidden="false" customHeight="false" outlineLevel="0" collapsed="false">
      <c r="A57" s="0" t="s">
        <v>127</v>
      </c>
      <c r="B57" s="0" t="s">
        <v>1</v>
      </c>
      <c r="C57" s="0" t="s">
        <v>11</v>
      </c>
      <c r="D57" s="0" t="s">
        <v>3</v>
      </c>
      <c r="E57" s="0" t="n">
        <v>28.609131</v>
      </c>
      <c r="F57" s="0" t="s">
        <v>21</v>
      </c>
      <c r="G57" s="1" t="s">
        <v>5</v>
      </c>
      <c r="H57" s="0" t="n">
        <v>46.137132</v>
      </c>
      <c r="I57" s="0" t="s">
        <v>17</v>
      </c>
      <c r="J57" s="1" t="s">
        <v>5</v>
      </c>
      <c r="K57" s="0" t="n">
        <v>9.655317</v>
      </c>
      <c r="L57" s="0" t="s">
        <v>12</v>
      </c>
      <c r="M57" s="1" t="s">
        <v>5</v>
      </c>
      <c r="N57" s="0" t="n">
        <v>59.487794</v>
      </c>
      <c r="O57" s="0" t="s">
        <v>22</v>
      </c>
      <c r="P57" s="1" t="s">
        <v>6</v>
      </c>
      <c r="Q57" s="0" t="n">
        <v>51.207498</v>
      </c>
      <c r="R57" s="0" t="s">
        <v>15</v>
      </c>
      <c r="S57" s="1" t="s">
        <v>6</v>
      </c>
      <c r="T57" s="0" t="s">
        <v>10</v>
      </c>
      <c r="U57" s="0" t="s">
        <v>2</v>
      </c>
      <c r="V57" s="0" t="s">
        <v>3</v>
      </c>
      <c r="W57" s="0" t="n">
        <v>47.13768</v>
      </c>
      <c r="X57" s="0" t="s">
        <v>4</v>
      </c>
      <c r="Y57" s="1" t="s">
        <v>5</v>
      </c>
      <c r="Z57" s="0" t="n">
        <v>36.315992</v>
      </c>
      <c r="AA57" s="0" t="s">
        <v>4</v>
      </c>
      <c r="AB57" s="1" t="s">
        <v>6</v>
      </c>
      <c r="AC57" s="0" t="n">
        <v>9.838643</v>
      </c>
      <c r="AD57" s="0" t="s">
        <v>7</v>
      </c>
      <c r="AE57" s="1" t="s">
        <v>6</v>
      </c>
      <c r="AF57" s="0" t="n">
        <v>57.311285</v>
      </c>
      <c r="AG57" s="0" t="s">
        <v>8</v>
      </c>
      <c r="AH57" s="1" t="s">
        <v>5</v>
      </c>
      <c r="AI57" s="0" t="n">
        <v>82.21668</v>
      </c>
      <c r="AJ57" s="0" t="s">
        <v>15</v>
      </c>
      <c r="AK57" s="1" t="s">
        <v>6</v>
      </c>
      <c r="AL57" s="0" t="s">
        <v>11</v>
      </c>
      <c r="AM57" s="0" t="s">
        <v>2</v>
      </c>
      <c r="AN57" s="0" t="s">
        <v>3</v>
      </c>
      <c r="AO57" s="0" t="n">
        <v>23.293791</v>
      </c>
      <c r="AP57" s="0" t="n">
        <v>0</v>
      </c>
      <c r="AQ57" s="0" t="n">
        <v>1</v>
      </c>
      <c r="AS57" s="2" t="str">
        <f aca="false">IF(AND(G57="true",J57="true",M57="true",P57="true",S57="true"),"true","false")</f>
        <v>false</v>
      </c>
      <c r="AT57" s="0" t="str">
        <f aca="false">IF(AND(Y57="true",AB57="true",AE57="true",AH57="true",AK57="true"),"true","false")</f>
        <v>false</v>
      </c>
    </row>
    <row r="58" customFormat="false" ht="12.8" hidden="false" customHeight="false" outlineLevel="0" collapsed="false">
      <c r="A58" s="0" t="s">
        <v>128</v>
      </c>
      <c r="B58" s="0" t="s">
        <v>1</v>
      </c>
      <c r="C58" s="0" t="s">
        <v>11</v>
      </c>
      <c r="D58" s="0" t="s">
        <v>3</v>
      </c>
      <c r="E58" s="0" t="n">
        <v>59.325521</v>
      </c>
      <c r="F58" s="0" t="s">
        <v>21</v>
      </c>
      <c r="G58" s="1" t="s">
        <v>5</v>
      </c>
      <c r="H58" s="0" t="n">
        <v>30.379597</v>
      </c>
      <c r="I58" s="0" t="s">
        <v>17</v>
      </c>
      <c r="J58" s="1" t="s">
        <v>5</v>
      </c>
      <c r="K58" s="0" t="n">
        <v>7.641575</v>
      </c>
      <c r="L58" s="0" t="s">
        <v>12</v>
      </c>
      <c r="M58" s="1" t="s">
        <v>5</v>
      </c>
      <c r="N58" s="0" t="n">
        <v>39.539096</v>
      </c>
      <c r="O58" s="0" t="s">
        <v>22</v>
      </c>
      <c r="P58" s="1" t="s">
        <v>6</v>
      </c>
      <c r="Q58" s="0" t="n">
        <v>40.448558</v>
      </c>
      <c r="R58" s="0" t="s">
        <v>15</v>
      </c>
      <c r="S58" s="1" t="s">
        <v>6</v>
      </c>
      <c r="T58" s="0" t="s">
        <v>10</v>
      </c>
      <c r="U58" s="0" t="s">
        <v>2</v>
      </c>
      <c r="V58" s="0" t="s">
        <v>3</v>
      </c>
      <c r="W58" s="0" t="n">
        <v>32.708453</v>
      </c>
      <c r="X58" s="0" t="s">
        <v>4</v>
      </c>
      <c r="Y58" s="1" t="s">
        <v>5</v>
      </c>
      <c r="Z58" s="0" t="n">
        <v>39.536175</v>
      </c>
      <c r="AA58" s="0" t="s">
        <v>7</v>
      </c>
      <c r="AB58" s="1" t="s">
        <v>5</v>
      </c>
      <c r="AC58" s="0" t="n">
        <v>11.163311</v>
      </c>
      <c r="AD58" s="0" t="s">
        <v>4</v>
      </c>
      <c r="AE58" s="1" t="s">
        <v>5</v>
      </c>
      <c r="AF58" s="0" t="n">
        <v>35.536855</v>
      </c>
      <c r="AG58" s="0" t="s">
        <v>8</v>
      </c>
      <c r="AH58" s="1" t="s">
        <v>5</v>
      </c>
      <c r="AI58" s="0" t="n">
        <v>21.491948</v>
      </c>
      <c r="AJ58" s="0" t="s">
        <v>15</v>
      </c>
      <c r="AK58" s="1" t="s">
        <v>6</v>
      </c>
      <c r="AL58" s="0" t="s">
        <v>11</v>
      </c>
      <c r="AM58" s="0" t="s">
        <v>2</v>
      </c>
      <c r="AN58" s="0" t="s">
        <v>3</v>
      </c>
      <c r="AO58" s="0" t="n">
        <v>17.52363</v>
      </c>
      <c r="AP58" s="0" t="n">
        <v>-1</v>
      </c>
      <c r="AQ58" s="0" t="n">
        <v>1</v>
      </c>
      <c r="AS58" s="2" t="str">
        <f aca="false">IF(AND(G58="true",J58="true",M58="true",P58="true",S58="true"),"true","false")</f>
        <v>false</v>
      </c>
      <c r="AT58" s="0" t="str">
        <f aca="false">IF(AND(Y58="true",AB58="true",AE58="true",AH58="true",AK58="true"),"true","false")</f>
        <v>false</v>
      </c>
    </row>
    <row r="59" customFormat="false" ht="12.8" hidden="false" customHeight="false" outlineLevel="0" collapsed="false">
      <c r="A59" s="0" t="s">
        <v>129</v>
      </c>
      <c r="B59" s="0" t="s">
        <v>1</v>
      </c>
      <c r="C59" s="0" t="s">
        <v>2</v>
      </c>
      <c r="D59" s="0" t="s">
        <v>3</v>
      </c>
      <c r="E59" s="0" t="n">
        <v>100.444848</v>
      </c>
      <c r="F59" s="0" t="s">
        <v>81</v>
      </c>
      <c r="G59" s="1" t="s">
        <v>6</v>
      </c>
      <c r="H59" s="0" t="n">
        <v>45.005014</v>
      </c>
      <c r="I59" s="0" t="s">
        <v>7</v>
      </c>
      <c r="J59" s="1" t="s">
        <v>5</v>
      </c>
      <c r="K59" s="0" t="n">
        <v>6.194777</v>
      </c>
      <c r="L59" s="0" t="s">
        <v>4</v>
      </c>
      <c r="M59" s="1" t="s">
        <v>5</v>
      </c>
      <c r="N59" s="0" t="n">
        <v>32.992461</v>
      </c>
      <c r="O59" s="0" t="s">
        <v>47</v>
      </c>
      <c r="P59" s="1" t="s">
        <v>6</v>
      </c>
      <c r="Q59" s="0" t="n">
        <v>62.979476</v>
      </c>
      <c r="R59" s="0" t="s">
        <v>9</v>
      </c>
      <c r="S59" s="1" t="s">
        <v>6</v>
      </c>
      <c r="T59" s="0" t="s">
        <v>10</v>
      </c>
      <c r="U59" s="0" t="s">
        <v>11</v>
      </c>
      <c r="V59" s="0" t="s">
        <v>3</v>
      </c>
      <c r="W59" s="0" t="n">
        <v>8.724907</v>
      </c>
      <c r="X59" s="0" t="s">
        <v>130</v>
      </c>
      <c r="Y59" s="1" t="s">
        <v>6</v>
      </c>
      <c r="Z59" s="0" t="n">
        <v>10.548286</v>
      </c>
      <c r="AA59" s="0" t="s">
        <v>56</v>
      </c>
      <c r="AB59" s="1" t="s">
        <v>6</v>
      </c>
      <c r="AC59" s="0" t="n">
        <v>3.770781</v>
      </c>
      <c r="AD59" s="0" t="s">
        <v>12</v>
      </c>
      <c r="AE59" s="1" t="s">
        <v>5</v>
      </c>
      <c r="AF59" s="0" t="n">
        <v>6.136906</v>
      </c>
      <c r="AG59" s="0" t="s">
        <v>111</v>
      </c>
      <c r="AH59" s="1" t="s">
        <v>6</v>
      </c>
      <c r="AI59" s="0" t="n">
        <v>8.330492</v>
      </c>
      <c r="AJ59" s="0" t="s">
        <v>15</v>
      </c>
      <c r="AK59" s="1" t="s">
        <v>5</v>
      </c>
      <c r="AL59" s="0" t="s">
        <v>2</v>
      </c>
      <c r="AM59" s="0" t="s">
        <v>11</v>
      </c>
      <c r="AN59" s="0" t="s">
        <v>3</v>
      </c>
      <c r="AO59" s="0" t="n">
        <v>18.595808</v>
      </c>
      <c r="AP59" s="0" t="n">
        <v>-2</v>
      </c>
      <c r="AQ59" s="0" t="n">
        <v>-2</v>
      </c>
      <c r="AS59" s="2" t="str">
        <f aca="false">IF(AND(G59="true",J59="true",M59="true",P59="true",S59="true"),"true","false")</f>
        <v>false</v>
      </c>
      <c r="AT59" s="0" t="str">
        <f aca="false">IF(AND(Y59="true",AB59="true",AE59="true",AH59="true",AK59="true"),"true","false")</f>
        <v>false</v>
      </c>
    </row>
    <row r="60" customFormat="false" ht="12.8" hidden="false" customHeight="false" outlineLevel="0" collapsed="false">
      <c r="A60" s="0" t="s">
        <v>131</v>
      </c>
      <c r="B60" s="0" t="s">
        <v>1</v>
      </c>
      <c r="C60" s="0" t="s">
        <v>2</v>
      </c>
      <c r="D60" s="0" t="s">
        <v>3</v>
      </c>
      <c r="E60" s="0" t="n">
        <v>30.08796</v>
      </c>
      <c r="F60" s="0" t="s">
        <v>132</v>
      </c>
      <c r="G60" s="1" t="s">
        <v>6</v>
      </c>
      <c r="H60" s="0" t="n">
        <v>17.192566</v>
      </c>
      <c r="I60" s="0" t="s">
        <v>133</v>
      </c>
      <c r="J60" s="1" t="s">
        <v>6</v>
      </c>
      <c r="K60" s="0" t="n">
        <v>7.375662</v>
      </c>
      <c r="L60" s="0" t="s">
        <v>4</v>
      </c>
      <c r="M60" s="1" t="s">
        <v>5</v>
      </c>
      <c r="N60" s="0" t="n">
        <v>26.043273</v>
      </c>
      <c r="O60" s="0" t="s">
        <v>8</v>
      </c>
      <c r="P60" s="1" t="s">
        <v>5</v>
      </c>
      <c r="Q60" s="0" t="n">
        <v>12.533719</v>
      </c>
      <c r="R60" s="0" t="s">
        <v>9</v>
      </c>
      <c r="S60" s="1" t="s">
        <v>6</v>
      </c>
      <c r="T60" s="0" t="s">
        <v>10</v>
      </c>
      <c r="U60" s="0" t="s">
        <v>11</v>
      </c>
      <c r="V60" s="0" t="s">
        <v>3</v>
      </c>
      <c r="W60" s="0" t="n">
        <v>46.304632</v>
      </c>
      <c r="X60" s="0" t="s">
        <v>21</v>
      </c>
      <c r="Y60" s="1" t="s">
        <v>5</v>
      </c>
      <c r="Z60" s="0" t="n">
        <v>7.590293</v>
      </c>
      <c r="AA60" s="0" t="s">
        <v>12</v>
      </c>
      <c r="AB60" s="1" t="s">
        <v>6</v>
      </c>
      <c r="AC60" s="0" t="n">
        <v>4.633104</v>
      </c>
      <c r="AD60" s="0" t="s">
        <v>17</v>
      </c>
      <c r="AE60" s="1" t="s">
        <v>6</v>
      </c>
      <c r="AF60" s="0" t="n">
        <v>26.018275</v>
      </c>
      <c r="AG60" s="0" t="s">
        <v>22</v>
      </c>
      <c r="AH60" s="1" t="s">
        <v>6</v>
      </c>
      <c r="AI60" s="0" t="n">
        <v>12.270835</v>
      </c>
      <c r="AJ60" s="0" t="s">
        <v>15</v>
      </c>
      <c r="AK60" s="1" t="s">
        <v>5</v>
      </c>
      <c r="AL60" s="0" t="s">
        <v>2</v>
      </c>
      <c r="AM60" s="0" t="s">
        <v>11</v>
      </c>
      <c r="AN60" s="0" t="s">
        <v>3</v>
      </c>
      <c r="AO60" s="0" t="n">
        <v>8.973849</v>
      </c>
      <c r="AP60" s="0" t="n">
        <v>0</v>
      </c>
      <c r="AQ60" s="0" t="n">
        <v>0</v>
      </c>
      <c r="AS60" s="2" t="str">
        <f aca="false">IF(AND(G60="true",J60="true",M60="true",P60="true",S60="true"),"true","false")</f>
        <v>false</v>
      </c>
      <c r="AT60" s="0" t="str">
        <f aca="false">IF(AND(Y60="true",AB60="true",AE60="true",AH60="true",AK60="true"),"true","false")</f>
        <v>false</v>
      </c>
    </row>
    <row r="61" customFormat="false" ht="12.8" hidden="false" customHeight="false" outlineLevel="0" collapsed="false">
      <c r="A61" s="0" t="s">
        <v>134</v>
      </c>
      <c r="B61" s="0" t="s">
        <v>1</v>
      </c>
      <c r="C61" s="0" t="s">
        <v>2</v>
      </c>
      <c r="D61" s="0" t="s">
        <v>3</v>
      </c>
      <c r="E61" s="0" t="n">
        <v>19.25522</v>
      </c>
      <c r="F61" s="0" t="s">
        <v>4</v>
      </c>
      <c r="G61" s="1" t="s">
        <v>5</v>
      </c>
      <c r="H61" s="0" t="n">
        <v>14.932312</v>
      </c>
      <c r="I61" s="0" t="s">
        <v>7</v>
      </c>
      <c r="J61" s="1" t="s">
        <v>5</v>
      </c>
      <c r="K61" s="0" t="n">
        <v>6.233744</v>
      </c>
      <c r="L61" s="0" t="s">
        <v>46</v>
      </c>
      <c r="M61" s="1" t="s">
        <v>6</v>
      </c>
      <c r="N61" s="0" t="n">
        <v>43.239297</v>
      </c>
      <c r="O61" s="0" t="s">
        <v>8</v>
      </c>
      <c r="P61" s="1" t="s">
        <v>5</v>
      </c>
      <c r="Q61" s="0" t="n">
        <v>26.39082</v>
      </c>
      <c r="R61" s="0" t="s">
        <v>15</v>
      </c>
      <c r="S61" s="1" t="s">
        <v>6</v>
      </c>
      <c r="T61" s="0" t="s">
        <v>10</v>
      </c>
      <c r="U61" s="0" t="s">
        <v>11</v>
      </c>
      <c r="V61" s="0" t="s">
        <v>3</v>
      </c>
      <c r="W61" s="0" t="n">
        <v>23.427214</v>
      </c>
      <c r="X61" s="0" t="s">
        <v>35</v>
      </c>
      <c r="Y61" s="1" t="s">
        <v>6</v>
      </c>
      <c r="Z61" s="0" t="n">
        <v>9.143399</v>
      </c>
      <c r="AA61" s="0" t="s">
        <v>17</v>
      </c>
      <c r="AB61" s="1" t="s">
        <v>5</v>
      </c>
      <c r="AC61" s="0" t="n">
        <v>12.615492</v>
      </c>
      <c r="AD61" s="0" t="s">
        <v>12</v>
      </c>
      <c r="AE61" s="1" t="s">
        <v>5</v>
      </c>
      <c r="AF61" s="0" t="n">
        <v>36.932481</v>
      </c>
      <c r="AG61" s="0" t="s">
        <v>22</v>
      </c>
      <c r="AH61" s="1" t="s">
        <v>6</v>
      </c>
      <c r="AI61" s="0" t="n">
        <v>7.036706</v>
      </c>
      <c r="AJ61" s="0" t="s">
        <v>15</v>
      </c>
      <c r="AK61" s="1" t="s">
        <v>5</v>
      </c>
      <c r="AL61" s="0" t="s">
        <v>2</v>
      </c>
      <c r="AM61" s="0" t="s">
        <v>11</v>
      </c>
      <c r="AN61" s="0" t="s">
        <v>3</v>
      </c>
      <c r="AO61" s="0" t="n">
        <v>12.417112</v>
      </c>
      <c r="AP61" s="0" t="n">
        <v>2</v>
      </c>
      <c r="AQ61" s="0" t="n">
        <v>1</v>
      </c>
      <c r="AS61" s="2" t="str">
        <f aca="false">IF(AND(G61="true",J61="true",M61="true",P61="true",S61="true"),"true","false")</f>
        <v>false</v>
      </c>
      <c r="AT61" s="0" t="str">
        <f aca="false">IF(AND(Y61="true",AB61="true",AE61="true",AH61="true",AK61="true"),"true","false")</f>
        <v>false</v>
      </c>
    </row>
    <row r="62" customFormat="false" ht="12.8" hidden="false" customHeight="false" outlineLevel="0" collapsed="false">
      <c r="A62" s="0" t="s">
        <v>135</v>
      </c>
      <c r="B62" s="0" t="s">
        <v>1</v>
      </c>
      <c r="C62" s="0" t="s">
        <v>2</v>
      </c>
      <c r="D62" s="0" t="s">
        <v>3</v>
      </c>
      <c r="E62" s="0" t="n">
        <v>36.913768</v>
      </c>
      <c r="F62" s="0" t="s">
        <v>4</v>
      </c>
      <c r="G62" s="1" t="s">
        <v>5</v>
      </c>
      <c r="H62" s="0" t="n">
        <v>30.367051</v>
      </c>
      <c r="I62" s="0" t="s">
        <v>7</v>
      </c>
      <c r="J62" s="1" t="s">
        <v>5</v>
      </c>
      <c r="K62" s="0" t="n">
        <v>25.737824</v>
      </c>
      <c r="L62" s="0" t="s">
        <v>4</v>
      </c>
      <c r="M62" s="1" t="s">
        <v>5</v>
      </c>
      <c r="N62" s="0" t="n">
        <v>25.037223</v>
      </c>
      <c r="O62" s="0" t="s">
        <v>8</v>
      </c>
      <c r="P62" s="1" t="s">
        <v>5</v>
      </c>
      <c r="Q62" s="0" t="n">
        <v>34.845396</v>
      </c>
      <c r="R62" s="0" t="s">
        <v>15</v>
      </c>
      <c r="S62" s="1" t="s">
        <v>6</v>
      </c>
      <c r="T62" s="0" t="s">
        <v>10</v>
      </c>
      <c r="U62" s="0" t="s">
        <v>11</v>
      </c>
      <c r="V62" s="0" t="s">
        <v>3</v>
      </c>
      <c r="W62" s="0" t="n">
        <v>12.519297</v>
      </c>
      <c r="X62" s="0" t="s">
        <v>21</v>
      </c>
      <c r="Y62" s="1" t="s">
        <v>5</v>
      </c>
      <c r="Z62" s="0" t="n">
        <v>17.249754</v>
      </c>
      <c r="AA62" s="0" t="s">
        <v>17</v>
      </c>
      <c r="AB62" s="1" t="s">
        <v>5</v>
      </c>
      <c r="AC62" s="0" t="n">
        <v>10.083554</v>
      </c>
      <c r="AD62" s="0" t="s">
        <v>12</v>
      </c>
      <c r="AE62" s="1" t="s">
        <v>5</v>
      </c>
      <c r="AF62" s="0" t="n">
        <v>46.354574</v>
      </c>
      <c r="AG62" s="0" t="s">
        <v>136</v>
      </c>
      <c r="AH62" s="1" t="s">
        <v>6</v>
      </c>
      <c r="AI62" s="0" t="n">
        <v>5.087618</v>
      </c>
      <c r="AJ62" s="0" t="s">
        <v>15</v>
      </c>
      <c r="AK62" s="1" t="s">
        <v>5</v>
      </c>
      <c r="AL62" s="0" t="s">
        <v>2</v>
      </c>
      <c r="AM62" s="0" t="s">
        <v>11</v>
      </c>
      <c r="AN62" s="0" t="s">
        <v>3</v>
      </c>
      <c r="AO62" s="0" t="n">
        <v>40.450915</v>
      </c>
      <c r="AP62" s="0" t="n">
        <v>2</v>
      </c>
      <c r="AQ62" s="0" t="n">
        <v>0</v>
      </c>
      <c r="AS62" s="2" t="str">
        <f aca="false">IF(AND(G62="true",J62="true",M62="true",P62="true",S62="true"),"true","false")</f>
        <v>false</v>
      </c>
      <c r="AT62" s="0" t="str">
        <f aca="false">IF(AND(Y62="true",AB62="true",AE62="true",AH62="true",AK62="true"),"true","false")</f>
        <v>false</v>
      </c>
    </row>
    <row r="63" customFormat="false" ht="12.8" hidden="false" customHeight="false" outlineLevel="0" collapsed="false">
      <c r="A63" s="0" t="s">
        <v>137</v>
      </c>
      <c r="B63" s="0" t="s">
        <v>1</v>
      </c>
      <c r="C63" s="0" t="s">
        <v>2</v>
      </c>
      <c r="D63" s="0" t="s">
        <v>3</v>
      </c>
      <c r="E63" s="0" t="n">
        <v>38.270942</v>
      </c>
      <c r="F63" s="0" t="s">
        <v>4</v>
      </c>
      <c r="G63" s="1" t="s">
        <v>5</v>
      </c>
      <c r="H63" s="0" t="n">
        <v>10.217086</v>
      </c>
      <c r="I63" s="0" t="s">
        <v>7</v>
      </c>
      <c r="J63" s="1" t="s">
        <v>5</v>
      </c>
      <c r="K63" s="0" t="n">
        <v>14.177172</v>
      </c>
      <c r="L63" s="0" t="s">
        <v>4</v>
      </c>
      <c r="M63" s="1" t="s">
        <v>5</v>
      </c>
      <c r="N63" s="0" t="n">
        <v>24.223157</v>
      </c>
      <c r="O63" s="0" t="s">
        <v>8</v>
      </c>
      <c r="P63" s="1" t="s">
        <v>5</v>
      </c>
      <c r="Q63" s="0" t="n">
        <v>16.832171</v>
      </c>
      <c r="R63" s="0" t="s">
        <v>9</v>
      </c>
      <c r="S63" s="1" t="s">
        <v>6</v>
      </c>
      <c r="T63" s="0" t="s">
        <v>10</v>
      </c>
      <c r="U63" s="0" t="s">
        <v>11</v>
      </c>
      <c r="V63" s="0" t="s">
        <v>3</v>
      </c>
      <c r="W63" s="0" t="n">
        <v>27.311103</v>
      </c>
      <c r="X63" s="0" t="s">
        <v>35</v>
      </c>
      <c r="Y63" s="1" t="s">
        <v>6</v>
      </c>
      <c r="Z63" s="0" t="n">
        <v>15.056722</v>
      </c>
      <c r="AA63" s="0" t="s">
        <v>17</v>
      </c>
      <c r="AB63" s="1" t="s">
        <v>5</v>
      </c>
      <c r="AC63" s="0" t="n">
        <v>16.952836</v>
      </c>
      <c r="AD63" s="0" t="s">
        <v>12</v>
      </c>
      <c r="AE63" s="1" t="s">
        <v>5</v>
      </c>
      <c r="AF63" s="0" t="n">
        <v>34.885964</v>
      </c>
      <c r="AG63" s="0" t="s">
        <v>22</v>
      </c>
      <c r="AH63" s="1" t="s">
        <v>6</v>
      </c>
      <c r="AI63" s="0" t="n">
        <v>29.360749</v>
      </c>
      <c r="AJ63" s="0" t="s">
        <v>15</v>
      </c>
      <c r="AK63" s="1" t="s">
        <v>5</v>
      </c>
      <c r="AL63" s="0" t="s">
        <v>2</v>
      </c>
      <c r="AM63" s="0" t="s">
        <v>11</v>
      </c>
      <c r="AN63" s="0" t="s">
        <v>3</v>
      </c>
      <c r="AO63" s="0" t="n">
        <v>91.227791</v>
      </c>
      <c r="AP63" s="0" t="n">
        <v>2</v>
      </c>
      <c r="AQ63" s="0" t="n">
        <v>1</v>
      </c>
      <c r="AR63" s="0" t="s">
        <v>138</v>
      </c>
      <c r="AS63" s="2" t="str">
        <f aca="false">IF(AND(G63="true",J63="true",M63="true",P63="true",S63="true"),"true","false")</f>
        <v>false</v>
      </c>
      <c r="AT63" s="0" t="str">
        <f aca="false">IF(AND(Y63="true",AB63="true",AE63="true",AH63="true",AK63="true"),"true","false")</f>
        <v>false</v>
      </c>
    </row>
    <row r="64" customFormat="false" ht="12.8" hidden="false" customHeight="false" outlineLevel="0" collapsed="false">
      <c r="A64" s="0" t="s">
        <v>139</v>
      </c>
      <c r="B64" s="0" t="s">
        <v>1</v>
      </c>
      <c r="C64" s="0" t="s">
        <v>11</v>
      </c>
      <c r="D64" s="0" t="s">
        <v>3</v>
      </c>
      <c r="E64" s="0" t="n">
        <v>33.347421</v>
      </c>
      <c r="F64" s="0" t="s">
        <v>12</v>
      </c>
      <c r="G64" s="1" t="s">
        <v>6</v>
      </c>
      <c r="H64" s="0" t="n">
        <v>15.044486</v>
      </c>
      <c r="I64" s="0" t="s">
        <v>17</v>
      </c>
      <c r="J64" s="1" t="s">
        <v>5</v>
      </c>
      <c r="K64" s="0" t="n">
        <v>6.487298</v>
      </c>
      <c r="L64" s="0" t="s">
        <v>12</v>
      </c>
      <c r="M64" s="1" t="s">
        <v>5</v>
      </c>
      <c r="N64" s="0" t="n">
        <v>47.44062</v>
      </c>
      <c r="O64" s="0" t="s">
        <v>22</v>
      </c>
      <c r="P64" s="1" t="s">
        <v>6</v>
      </c>
      <c r="Q64" s="0" t="n">
        <v>29.320507</v>
      </c>
      <c r="R64" s="0" t="s">
        <v>15</v>
      </c>
      <c r="S64" s="1" t="s">
        <v>6</v>
      </c>
      <c r="T64" s="0" t="s">
        <v>10</v>
      </c>
      <c r="U64" s="0" t="s">
        <v>2</v>
      </c>
      <c r="V64" s="0" t="s">
        <v>3</v>
      </c>
      <c r="W64" s="0" t="n">
        <v>35.533073</v>
      </c>
      <c r="X64" s="0" t="s">
        <v>4</v>
      </c>
      <c r="Y64" s="1" t="s">
        <v>5</v>
      </c>
      <c r="Z64" s="0" t="n">
        <v>9.844023</v>
      </c>
      <c r="AA64" s="0" t="s">
        <v>7</v>
      </c>
      <c r="AB64" s="1" t="s">
        <v>5</v>
      </c>
      <c r="AC64" s="0" t="n">
        <v>11.207327</v>
      </c>
      <c r="AD64" s="0" t="s">
        <v>4</v>
      </c>
      <c r="AE64" s="1" t="s">
        <v>5</v>
      </c>
      <c r="AF64" s="0" t="n">
        <v>23.148328</v>
      </c>
      <c r="AG64" s="0" t="s">
        <v>8</v>
      </c>
      <c r="AH64" s="1" t="s">
        <v>5</v>
      </c>
      <c r="AI64" s="0" t="n">
        <v>35.226356</v>
      </c>
      <c r="AJ64" s="0" t="s">
        <v>9</v>
      </c>
      <c r="AK64" s="1" t="s">
        <v>5</v>
      </c>
      <c r="AL64" s="0" t="s">
        <v>11</v>
      </c>
      <c r="AM64" s="0" t="s">
        <v>2</v>
      </c>
      <c r="AN64" s="0" t="s">
        <v>3</v>
      </c>
      <c r="AO64" s="0" t="n">
        <v>30.355388</v>
      </c>
      <c r="AP64" s="0" t="n">
        <v>2</v>
      </c>
      <c r="AQ64" s="0" t="n">
        <v>0</v>
      </c>
      <c r="AS64" s="2" t="str">
        <f aca="false">IF(AND(G64="true",J64="true",M64="true",P64="true",S64="true"),"true","false")</f>
        <v>false</v>
      </c>
      <c r="AT64" s="0" t="str">
        <f aca="false">IF(AND(Y64="true",AB64="true",AE64="true",AH64="true",AK64="true"),"true","false")</f>
        <v>true</v>
      </c>
    </row>
    <row r="65" customFormat="false" ht="12.8" hidden="false" customHeight="false" outlineLevel="0" collapsed="false">
      <c r="A65" s="0" t="s">
        <v>140</v>
      </c>
      <c r="B65" s="0" t="s">
        <v>1</v>
      </c>
      <c r="C65" s="0" t="s">
        <v>2</v>
      </c>
      <c r="D65" s="0" t="s">
        <v>3</v>
      </c>
      <c r="E65" s="0" t="n">
        <v>35.650114</v>
      </c>
      <c r="F65" s="0" t="s">
        <v>4</v>
      </c>
      <c r="G65" s="1" t="s">
        <v>5</v>
      </c>
      <c r="H65" s="0" t="n">
        <v>11.055294</v>
      </c>
      <c r="I65" s="0" t="s">
        <v>7</v>
      </c>
      <c r="J65" s="1" t="s">
        <v>5</v>
      </c>
      <c r="K65" s="0" t="n">
        <v>11.314751</v>
      </c>
      <c r="L65" s="0" t="s">
        <v>4</v>
      </c>
      <c r="M65" s="1" t="s">
        <v>5</v>
      </c>
      <c r="N65" s="0" t="n">
        <v>20.408822</v>
      </c>
      <c r="O65" s="0" t="s">
        <v>8</v>
      </c>
      <c r="P65" s="1" t="s">
        <v>5</v>
      </c>
      <c r="Q65" s="0" t="n">
        <v>61.093048</v>
      </c>
      <c r="R65" s="0" t="s">
        <v>15</v>
      </c>
      <c r="S65" s="1" t="s">
        <v>6</v>
      </c>
      <c r="T65" s="0" t="s">
        <v>10</v>
      </c>
      <c r="U65" s="0" t="s">
        <v>11</v>
      </c>
      <c r="V65" s="0" t="s">
        <v>3</v>
      </c>
      <c r="W65" s="0" t="n">
        <v>35.865324</v>
      </c>
      <c r="X65" s="0" t="s">
        <v>21</v>
      </c>
      <c r="Y65" s="1" t="s">
        <v>5</v>
      </c>
      <c r="Z65" s="0" t="n">
        <v>17.130873</v>
      </c>
      <c r="AA65" s="0" t="s">
        <v>12</v>
      </c>
      <c r="AB65" s="1" t="s">
        <v>6</v>
      </c>
      <c r="AC65" s="0" t="n">
        <v>6.06947</v>
      </c>
      <c r="AD65" s="0" t="s">
        <v>17</v>
      </c>
      <c r="AE65" s="1" t="s">
        <v>6</v>
      </c>
      <c r="AF65" s="0" t="n">
        <v>50.839597</v>
      </c>
      <c r="AG65" s="0" t="s">
        <v>22</v>
      </c>
      <c r="AH65" s="1" t="s">
        <v>6</v>
      </c>
      <c r="AI65" s="0" t="n">
        <v>18.46669</v>
      </c>
      <c r="AJ65" s="0" t="s">
        <v>15</v>
      </c>
      <c r="AK65" s="1" t="s">
        <v>5</v>
      </c>
      <c r="AL65" s="0" t="s">
        <v>2</v>
      </c>
      <c r="AM65" s="0" t="s">
        <v>11</v>
      </c>
      <c r="AN65" s="0" t="s">
        <v>3</v>
      </c>
      <c r="AO65" s="0" t="n">
        <v>21.295307</v>
      </c>
      <c r="AP65" s="0" t="n">
        <v>1</v>
      </c>
      <c r="AQ65" s="0" t="n">
        <v>2</v>
      </c>
      <c r="AS65" s="2" t="str">
        <f aca="false">IF(AND(G65="true",J65="true",M65="true",P65="true",S65="true"),"true","false")</f>
        <v>false</v>
      </c>
      <c r="AT65" s="0" t="str">
        <f aca="false">IF(AND(Y65="true",AB65="true",AE65="true",AH65="true",AK65="true"),"true","false")</f>
        <v>false</v>
      </c>
    </row>
    <row r="66" customFormat="false" ht="12.8" hidden="false" customHeight="false" outlineLevel="0" collapsed="false">
      <c r="A66" s="0" t="s">
        <v>141</v>
      </c>
      <c r="B66" s="0" t="s">
        <v>1</v>
      </c>
      <c r="C66" s="0" t="s">
        <v>2</v>
      </c>
      <c r="D66" s="0" t="s">
        <v>3</v>
      </c>
      <c r="E66" s="0" t="n">
        <v>28.66034</v>
      </c>
      <c r="F66" s="0" t="s">
        <v>4</v>
      </c>
      <c r="G66" s="1" t="s">
        <v>5</v>
      </c>
      <c r="H66" s="0" t="n">
        <v>12.778991</v>
      </c>
      <c r="I66" s="0" t="s">
        <v>7</v>
      </c>
      <c r="J66" s="1" t="s">
        <v>5</v>
      </c>
      <c r="K66" s="0" t="n">
        <v>17.087973</v>
      </c>
      <c r="L66" s="0" t="s">
        <v>7</v>
      </c>
      <c r="M66" s="1" t="s">
        <v>6</v>
      </c>
      <c r="N66" s="0" t="n">
        <v>43.416009</v>
      </c>
      <c r="O66" s="0" t="s">
        <v>8</v>
      </c>
      <c r="P66" s="1" t="s">
        <v>5</v>
      </c>
      <c r="Q66" s="0" t="n">
        <v>29.033327</v>
      </c>
      <c r="R66" s="0" t="s">
        <v>9</v>
      </c>
      <c r="S66" s="1" t="s">
        <v>6</v>
      </c>
      <c r="T66" s="0" t="s">
        <v>10</v>
      </c>
      <c r="U66" s="0" t="s">
        <v>11</v>
      </c>
      <c r="V66" s="0" t="s">
        <v>3</v>
      </c>
      <c r="W66" s="0" t="n">
        <v>49.679681</v>
      </c>
      <c r="X66" s="0" t="s">
        <v>21</v>
      </c>
      <c r="Y66" s="1" t="s">
        <v>5</v>
      </c>
      <c r="Z66" s="0" t="n">
        <v>10.294453</v>
      </c>
      <c r="AA66" s="0" t="s">
        <v>17</v>
      </c>
      <c r="AB66" s="1" t="s">
        <v>5</v>
      </c>
      <c r="AC66" s="0" t="n">
        <v>12.549508</v>
      </c>
      <c r="AD66" s="0" t="s">
        <v>12</v>
      </c>
      <c r="AE66" s="1" t="s">
        <v>5</v>
      </c>
      <c r="AF66" s="0" t="n">
        <v>48.242596</v>
      </c>
      <c r="AG66" s="0" t="s">
        <v>22</v>
      </c>
      <c r="AH66" s="1" t="s">
        <v>6</v>
      </c>
      <c r="AI66" s="0" t="n">
        <v>19.899221</v>
      </c>
      <c r="AJ66" s="0" t="s">
        <v>15</v>
      </c>
      <c r="AK66" s="1" t="s">
        <v>5</v>
      </c>
      <c r="AL66" s="0" t="s">
        <v>2</v>
      </c>
      <c r="AM66" s="0" t="s">
        <v>11</v>
      </c>
      <c r="AN66" s="0" t="s">
        <v>3</v>
      </c>
      <c r="AO66" s="0" t="n">
        <v>31.127622</v>
      </c>
      <c r="AP66" s="0" t="n">
        <v>1</v>
      </c>
      <c r="AQ66" s="0" t="n">
        <v>2</v>
      </c>
      <c r="AS66" s="2" t="str">
        <f aca="false">IF(AND(G66="true",J66="true",M66="true",P66="true",S66="true"),"true","false")</f>
        <v>false</v>
      </c>
      <c r="AT66" s="0" t="str">
        <f aca="false">IF(AND(Y66="true",AB66="true",AE66="true",AH66="true",AK66="true"),"true","false")</f>
        <v>false</v>
      </c>
    </row>
    <row r="67" customFormat="false" ht="12.8" hidden="false" customHeight="false" outlineLevel="0" collapsed="false">
      <c r="A67" s="0" t="s">
        <v>142</v>
      </c>
      <c r="B67" s="0" t="s">
        <v>1</v>
      </c>
      <c r="C67" s="0" t="s">
        <v>11</v>
      </c>
      <c r="D67" s="0" t="s">
        <v>3</v>
      </c>
      <c r="E67" s="0" t="n">
        <v>20.879491</v>
      </c>
      <c r="F67" s="0" t="s">
        <v>21</v>
      </c>
      <c r="G67" s="1" t="s">
        <v>5</v>
      </c>
      <c r="H67" s="0" t="n">
        <v>9.605593</v>
      </c>
      <c r="I67" s="0" t="s">
        <v>21</v>
      </c>
      <c r="J67" s="1" t="s">
        <v>6</v>
      </c>
      <c r="K67" s="0" t="n">
        <v>15.123812</v>
      </c>
      <c r="L67" s="0" t="s">
        <v>12</v>
      </c>
      <c r="M67" s="1" t="s">
        <v>5</v>
      </c>
      <c r="N67" s="0" t="n">
        <v>38.079622</v>
      </c>
      <c r="O67" s="0" t="s">
        <v>22</v>
      </c>
      <c r="P67" s="1" t="s">
        <v>6</v>
      </c>
      <c r="Q67" s="0" t="n">
        <v>25.693823</v>
      </c>
      <c r="R67" s="0" t="s">
        <v>51</v>
      </c>
      <c r="S67" s="1" t="s">
        <v>5</v>
      </c>
      <c r="T67" s="0" t="s">
        <v>10</v>
      </c>
      <c r="U67" s="0" t="s">
        <v>2</v>
      </c>
      <c r="V67" s="0" t="s">
        <v>3</v>
      </c>
      <c r="W67" s="0" t="n">
        <v>26.822222</v>
      </c>
      <c r="X67" s="0" t="s">
        <v>4</v>
      </c>
      <c r="Y67" s="1" t="s">
        <v>5</v>
      </c>
      <c r="Z67" s="0" t="n">
        <v>17.315827</v>
      </c>
      <c r="AA67" s="0" t="s">
        <v>7</v>
      </c>
      <c r="AB67" s="1" t="s">
        <v>5</v>
      </c>
      <c r="AC67" s="0" t="n">
        <v>21.474021</v>
      </c>
      <c r="AD67" s="0" t="s">
        <v>4</v>
      </c>
      <c r="AE67" s="1" t="s">
        <v>5</v>
      </c>
      <c r="AF67" s="0" t="n">
        <v>27.369296</v>
      </c>
      <c r="AG67" s="0" t="s">
        <v>8</v>
      </c>
      <c r="AH67" s="1" t="s">
        <v>5</v>
      </c>
      <c r="AI67" s="0" t="n">
        <v>24.698201</v>
      </c>
      <c r="AJ67" s="0" t="s">
        <v>9</v>
      </c>
      <c r="AK67" s="1" t="s">
        <v>5</v>
      </c>
      <c r="AL67" s="0" t="s">
        <v>11</v>
      </c>
      <c r="AM67" s="0" t="s">
        <v>2</v>
      </c>
      <c r="AN67" s="0" t="s">
        <v>3</v>
      </c>
      <c r="AO67" s="0" t="n">
        <v>17.760445</v>
      </c>
      <c r="AP67" s="0" t="n">
        <v>1</v>
      </c>
      <c r="AQ67" s="0" t="n">
        <v>2</v>
      </c>
      <c r="AS67" s="2" t="str">
        <f aca="false">IF(AND(G67="true",J67="true",M67="true",P67="true",S67="true"),"true","false")</f>
        <v>false</v>
      </c>
      <c r="AT67" s="0" t="str">
        <f aca="false">IF(AND(Y67="true",AB67="true",AE67="true",AH67="true",AK67="true"),"true","false")</f>
        <v>true</v>
      </c>
    </row>
    <row r="68" customFormat="false" ht="12.8" hidden="false" customHeight="false" outlineLevel="0" collapsed="false">
      <c r="A68" s="0" t="s">
        <v>143</v>
      </c>
      <c r="B68" s="0" t="s">
        <v>1</v>
      </c>
      <c r="C68" s="0" t="s">
        <v>2</v>
      </c>
      <c r="D68" s="0" t="s">
        <v>3</v>
      </c>
      <c r="E68" s="0" t="n">
        <v>42.067188</v>
      </c>
      <c r="F68" s="0" t="s">
        <v>4</v>
      </c>
      <c r="G68" s="1" t="s">
        <v>5</v>
      </c>
      <c r="H68" s="0" t="n">
        <v>14.345159</v>
      </c>
      <c r="I68" s="0" t="s">
        <v>7</v>
      </c>
      <c r="J68" s="1" t="s">
        <v>5</v>
      </c>
      <c r="K68" s="0" t="n">
        <v>7.702696</v>
      </c>
      <c r="L68" s="0" t="s">
        <v>4</v>
      </c>
      <c r="M68" s="1" t="s">
        <v>5</v>
      </c>
      <c r="N68" s="0" t="n">
        <v>18.955792</v>
      </c>
      <c r="O68" s="0" t="s">
        <v>8</v>
      </c>
      <c r="P68" s="1" t="s">
        <v>5</v>
      </c>
      <c r="Q68" s="0" t="n">
        <v>21.298792</v>
      </c>
      <c r="R68" s="0" t="s">
        <v>9</v>
      </c>
      <c r="S68" s="1" t="s">
        <v>6</v>
      </c>
      <c r="T68" s="0" t="s">
        <v>10</v>
      </c>
      <c r="U68" s="0" t="s">
        <v>11</v>
      </c>
      <c r="V68" s="0" t="s">
        <v>3</v>
      </c>
      <c r="W68" s="0" t="n">
        <v>15.618943</v>
      </c>
      <c r="X68" s="0" t="s">
        <v>35</v>
      </c>
      <c r="Y68" s="1" t="s">
        <v>6</v>
      </c>
      <c r="Z68" s="0" t="n">
        <v>22.928354</v>
      </c>
      <c r="AA68" s="0" t="s">
        <v>17</v>
      </c>
      <c r="AB68" s="1" t="s">
        <v>5</v>
      </c>
      <c r="AC68" s="0" t="n">
        <v>15.44533</v>
      </c>
      <c r="AD68" s="0" t="s">
        <v>12</v>
      </c>
      <c r="AE68" s="1" t="s">
        <v>5</v>
      </c>
      <c r="AF68" s="0" t="n">
        <v>35.033549</v>
      </c>
      <c r="AG68" s="0" t="s">
        <v>22</v>
      </c>
      <c r="AH68" s="1" t="s">
        <v>6</v>
      </c>
      <c r="AI68" s="0" t="n">
        <v>8.073636</v>
      </c>
      <c r="AJ68" s="0" t="s">
        <v>15</v>
      </c>
      <c r="AK68" s="1" t="s">
        <v>5</v>
      </c>
      <c r="AL68" s="0" t="s">
        <v>2</v>
      </c>
      <c r="AM68" s="0" t="s">
        <v>11</v>
      </c>
      <c r="AN68" s="0" t="s">
        <v>3</v>
      </c>
      <c r="AO68" s="0" t="n">
        <v>12.212729</v>
      </c>
      <c r="AP68" s="0" t="n">
        <v>2</v>
      </c>
      <c r="AQ68" s="0" t="n">
        <v>0</v>
      </c>
      <c r="AS68" s="2" t="str">
        <f aca="false">IF(AND(G68="true",J68="true",M68="true",P68="true",S68="true"),"true","false")</f>
        <v>false</v>
      </c>
      <c r="AT68" s="0" t="str">
        <f aca="false">IF(AND(Y68="true",AB68="true",AE68="true",AH68="true",AK68="true"),"true","false")</f>
        <v>false</v>
      </c>
    </row>
    <row r="69" customFormat="false" ht="12.8" hidden="false" customHeight="false" outlineLevel="0" collapsed="false">
      <c r="A69" s="0" t="s">
        <v>144</v>
      </c>
      <c r="B69" s="0" t="s">
        <v>1</v>
      </c>
      <c r="C69" s="0" t="s">
        <v>2</v>
      </c>
      <c r="D69" s="0" t="s">
        <v>3</v>
      </c>
      <c r="E69" s="0" t="n">
        <v>14.466001</v>
      </c>
      <c r="F69" s="0" t="s">
        <v>4</v>
      </c>
      <c r="G69" s="1" t="s">
        <v>5</v>
      </c>
      <c r="H69" s="0" t="n">
        <v>12.437451</v>
      </c>
      <c r="I69" s="0" t="s">
        <v>7</v>
      </c>
      <c r="J69" s="1" t="s">
        <v>5</v>
      </c>
      <c r="K69" s="0" t="n">
        <v>6.233573</v>
      </c>
      <c r="L69" s="0" t="s">
        <v>4</v>
      </c>
      <c r="M69" s="1" t="s">
        <v>5</v>
      </c>
      <c r="N69" s="0" t="n">
        <v>18.520374</v>
      </c>
      <c r="O69" s="0" t="s">
        <v>8</v>
      </c>
      <c r="P69" s="1" t="s">
        <v>5</v>
      </c>
      <c r="Q69" s="0" t="n">
        <v>12.748556</v>
      </c>
      <c r="R69" s="0" t="s">
        <v>9</v>
      </c>
      <c r="S69" s="1" t="s">
        <v>6</v>
      </c>
      <c r="T69" s="0" t="s">
        <v>10</v>
      </c>
      <c r="U69" s="0" t="s">
        <v>11</v>
      </c>
      <c r="V69" s="0" t="s">
        <v>3</v>
      </c>
      <c r="W69" s="0" t="n">
        <v>10.139806</v>
      </c>
      <c r="Y69" s="1" t="s">
        <v>6</v>
      </c>
      <c r="Z69" s="0" t="n">
        <v>0.638687</v>
      </c>
      <c r="AB69" s="1" t="s">
        <v>6</v>
      </c>
      <c r="AC69" s="0" t="n">
        <v>0.583672</v>
      </c>
      <c r="AE69" s="1" t="s">
        <v>6</v>
      </c>
      <c r="AF69" s="0" t="n">
        <v>0.485082</v>
      </c>
      <c r="AH69" s="1" t="s">
        <v>6</v>
      </c>
      <c r="AI69" s="0" t="n">
        <v>1.132534</v>
      </c>
      <c r="AK69" s="1" t="s">
        <v>6</v>
      </c>
      <c r="AL69" s="0" t="s">
        <v>2</v>
      </c>
      <c r="AM69" s="0" t="s">
        <v>11</v>
      </c>
      <c r="AN69" s="0" t="s">
        <v>3</v>
      </c>
      <c r="AO69" s="0" t="n">
        <v>5.243651</v>
      </c>
      <c r="AS69" s="2" t="str">
        <f aca="false">IF(AND(G69="true",J69="true",M69="true",P69="true",S69="true"),"true","false")</f>
        <v>false</v>
      </c>
      <c r="AT69" s="0" t="str">
        <f aca="false">IF(AND(Y69="true",AB69="true",AE69="true",AH69="true",AK69="true"),"true","false")</f>
        <v>false</v>
      </c>
    </row>
    <row r="70" customFormat="false" ht="12.8" hidden="false" customHeight="false" outlineLevel="0" collapsed="false">
      <c r="A70" s="0" t="s">
        <v>145</v>
      </c>
      <c r="B70" s="0" t="s">
        <v>1</v>
      </c>
      <c r="C70" s="0" t="s">
        <v>2</v>
      </c>
      <c r="D70" s="0" t="s">
        <v>3</v>
      </c>
      <c r="E70" s="0" t="n">
        <v>21.041082</v>
      </c>
      <c r="F70" s="0" t="s">
        <v>4</v>
      </c>
      <c r="G70" s="1" t="s">
        <v>5</v>
      </c>
      <c r="H70" s="0" t="n">
        <v>8.766976</v>
      </c>
      <c r="I70" s="0" t="s">
        <v>7</v>
      </c>
      <c r="J70" s="1" t="s">
        <v>5</v>
      </c>
      <c r="K70" s="0" t="n">
        <v>14.617341</v>
      </c>
      <c r="L70" s="0" t="s">
        <v>4</v>
      </c>
      <c r="M70" s="1" t="s">
        <v>5</v>
      </c>
      <c r="N70" s="0" t="n">
        <v>17.744873</v>
      </c>
      <c r="O70" s="0" t="s">
        <v>8</v>
      </c>
      <c r="P70" s="1" t="s">
        <v>5</v>
      </c>
      <c r="Q70" s="0" t="n">
        <v>70.382514</v>
      </c>
      <c r="R70" s="0" t="s">
        <v>15</v>
      </c>
      <c r="S70" s="1" t="s">
        <v>6</v>
      </c>
      <c r="T70" s="0" t="s">
        <v>10</v>
      </c>
      <c r="U70" s="0" t="s">
        <v>11</v>
      </c>
      <c r="V70" s="0" t="s">
        <v>3</v>
      </c>
      <c r="W70" s="0" t="n">
        <v>165.280342</v>
      </c>
      <c r="X70" s="0" t="s">
        <v>21</v>
      </c>
      <c r="Y70" s="1" t="s">
        <v>5</v>
      </c>
      <c r="Z70" s="0" t="n">
        <v>39.773279</v>
      </c>
      <c r="AA70" s="0" t="s">
        <v>17</v>
      </c>
      <c r="AB70" s="1" t="s">
        <v>5</v>
      </c>
      <c r="AC70" s="0" t="n">
        <v>10.785067</v>
      </c>
      <c r="AD70" s="0" t="s">
        <v>12</v>
      </c>
      <c r="AE70" s="1" t="s">
        <v>5</v>
      </c>
      <c r="AF70" s="0" t="n">
        <v>40.830185</v>
      </c>
      <c r="AG70" s="0" t="s">
        <v>22</v>
      </c>
      <c r="AH70" s="1" t="s">
        <v>6</v>
      </c>
      <c r="AI70" s="0" t="n">
        <v>19.961933</v>
      </c>
      <c r="AJ70" s="0" t="s">
        <v>15</v>
      </c>
      <c r="AK70" s="1" t="s">
        <v>5</v>
      </c>
      <c r="AL70" s="0" t="s">
        <v>2</v>
      </c>
      <c r="AM70" s="0" t="s">
        <v>11</v>
      </c>
      <c r="AN70" s="0" t="s">
        <v>3</v>
      </c>
      <c r="AO70" s="0" t="n">
        <v>17.225389</v>
      </c>
      <c r="AP70" s="0" t="n">
        <v>2</v>
      </c>
      <c r="AQ70" s="0" t="n">
        <v>-1</v>
      </c>
      <c r="AS70" s="2" t="str">
        <f aca="false">IF(AND(G70="true",J70="true",M70="true",P70="true",S70="true"),"true","false")</f>
        <v>false</v>
      </c>
      <c r="AT70" s="0" t="str">
        <f aca="false">IF(AND(Y70="true",AB70="true",AE70="true",AH70="true",AK70="true"),"true","false")</f>
        <v>false</v>
      </c>
    </row>
    <row r="71" customFormat="false" ht="12.8" hidden="false" customHeight="false" outlineLevel="0" collapsed="false">
      <c r="A71" s="0" t="s">
        <v>146</v>
      </c>
      <c r="B71" s="0" t="s">
        <v>1</v>
      </c>
      <c r="C71" s="0" t="s">
        <v>11</v>
      </c>
      <c r="D71" s="0" t="s">
        <v>3</v>
      </c>
      <c r="E71" s="0" t="n">
        <v>30.358693</v>
      </c>
      <c r="F71" s="0" t="s">
        <v>21</v>
      </c>
      <c r="G71" s="1" t="s">
        <v>5</v>
      </c>
      <c r="H71" s="0" t="n">
        <v>51.40938</v>
      </c>
      <c r="I71" s="0" t="s">
        <v>147</v>
      </c>
      <c r="J71" s="1" t="s">
        <v>6</v>
      </c>
      <c r="K71" s="0" t="n">
        <v>11.382077</v>
      </c>
      <c r="L71" s="0" t="s">
        <v>12</v>
      </c>
      <c r="M71" s="1" t="s">
        <v>5</v>
      </c>
      <c r="N71" s="0" t="n">
        <v>46.315285</v>
      </c>
      <c r="O71" s="0" t="s">
        <v>22</v>
      </c>
      <c r="P71" s="1" t="s">
        <v>6</v>
      </c>
      <c r="Q71" s="0" t="n">
        <v>92.02848</v>
      </c>
      <c r="R71" s="0" t="s">
        <v>9</v>
      </c>
      <c r="S71" s="1" t="s">
        <v>6</v>
      </c>
      <c r="T71" s="0" t="s">
        <v>10</v>
      </c>
      <c r="U71" s="0" t="s">
        <v>2</v>
      </c>
      <c r="V71" s="0" t="s">
        <v>3</v>
      </c>
      <c r="W71" s="0" t="n">
        <v>28.331256</v>
      </c>
      <c r="X71" s="0" t="s">
        <v>39</v>
      </c>
      <c r="Y71" s="1" t="s">
        <v>6</v>
      </c>
      <c r="Z71" s="0" t="n">
        <v>30.826256</v>
      </c>
      <c r="AA71" s="0" t="s">
        <v>7</v>
      </c>
      <c r="AB71" s="1" t="s">
        <v>5</v>
      </c>
      <c r="AC71" s="0" t="n">
        <v>31.300264</v>
      </c>
      <c r="AD71" s="0" t="s">
        <v>4</v>
      </c>
      <c r="AE71" s="1" t="s">
        <v>5</v>
      </c>
      <c r="AF71" s="0" t="n">
        <v>25.365787</v>
      </c>
      <c r="AG71" s="0" t="s">
        <v>8</v>
      </c>
      <c r="AH71" s="1" t="s">
        <v>5</v>
      </c>
      <c r="AI71" s="0" t="n">
        <v>30.608038</v>
      </c>
      <c r="AJ71" s="0" t="s">
        <v>9</v>
      </c>
      <c r="AK71" s="1" t="s">
        <v>5</v>
      </c>
      <c r="AL71" s="0" t="s">
        <v>11</v>
      </c>
      <c r="AM71" s="0" t="s">
        <v>2</v>
      </c>
      <c r="AN71" s="0" t="s">
        <v>3</v>
      </c>
      <c r="AO71" s="0" t="n">
        <v>69.938785</v>
      </c>
      <c r="AP71" s="0" t="n">
        <v>0</v>
      </c>
      <c r="AQ71" s="0" t="n">
        <v>1</v>
      </c>
      <c r="AS71" s="2" t="str">
        <f aca="false">IF(AND(G71="true",J71="true",M71="true",P71="true",S71="true"),"true","false")</f>
        <v>false</v>
      </c>
      <c r="AT71" s="0" t="str">
        <f aca="false">IF(AND(Y71="true",AB71="true",AE71="true",AH71="true",AK71="true"),"true","false")</f>
        <v>false</v>
      </c>
    </row>
    <row r="72" customFormat="false" ht="12.8" hidden="false" customHeight="false" outlineLevel="0" collapsed="false">
      <c r="A72" s="0" t="s">
        <v>148</v>
      </c>
      <c r="B72" s="0" t="s">
        <v>1</v>
      </c>
      <c r="C72" s="0" t="s">
        <v>2</v>
      </c>
      <c r="D72" s="0" t="s">
        <v>3</v>
      </c>
      <c r="E72" s="0" t="n">
        <v>17.809422</v>
      </c>
      <c r="F72" s="0" t="s">
        <v>4</v>
      </c>
      <c r="G72" s="1" t="s">
        <v>5</v>
      </c>
      <c r="H72" s="0" t="n">
        <v>16.194506</v>
      </c>
      <c r="I72" s="0" t="s">
        <v>7</v>
      </c>
      <c r="J72" s="1" t="s">
        <v>5</v>
      </c>
      <c r="K72" s="0" t="n">
        <v>6.789199</v>
      </c>
      <c r="L72" s="0" t="s">
        <v>4</v>
      </c>
      <c r="M72" s="1" t="s">
        <v>5</v>
      </c>
      <c r="N72" s="0" t="n">
        <v>18.774803</v>
      </c>
      <c r="O72" s="0" t="s">
        <v>8</v>
      </c>
      <c r="P72" s="1" t="s">
        <v>5</v>
      </c>
      <c r="Q72" s="0" t="n">
        <v>32.500982</v>
      </c>
      <c r="R72" s="0" t="s">
        <v>15</v>
      </c>
      <c r="S72" s="1" t="s">
        <v>6</v>
      </c>
      <c r="T72" s="0" t="s">
        <v>10</v>
      </c>
      <c r="U72" s="0" t="s">
        <v>11</v>
      </c>
      <c r="V72" s="0" t="s">
        <v>3</v>
      </c>
      <c r="W72" s="0" t="n">
        <v>15.8867</v>
      </c>
      <c r="X72" s="0" t="s">
        <v>21</v>
      </c>
      <c r="Y72" s="1" t="s">
        <v>5</v>
      </c>
      <c r="Z72" s="0" t="n">
        <v>19.634958</v>
      </c>
      <c r="AA72" s="0" t="s">
        <v>12</v>
      </c>
      <c r="AB72" s="1" t="s">
        <v>6</v>
      </c>
      <c r="AC72" s="0" t="n">
        <v>5.46915</v>
      </c>
      <c r="AD72" s="0" t="s">
        <v>17</v>
      </c>
      <c r="AE72" s="1" t="s">
        <v>6</v>
      </c>
      <c r="AF72" s="0" t="n">
        <v>34.604801</v>
      </c>
      <c r="AG72" s="0" t="s">
        <v>19</v>
      </c>
      <c r="AH72" s="1" t="s">
        <v>5</v>
      </c>
      <c r="AI72" s="0" t="n">
        <v>13.832262</v>
      </c>
      <c r="AJ72" s="0" t="s">
        <v>15</v>
      </c>
      <c r="AK72" s="1" t="s">
        <v>5</v>
      </c>
      <c r="AL72" s="0" t="s">
        <v>2</v>
      </c>
      <c r="AM72" s="0" t="s">
        <v>11</v>
      </c>
      <c r="AN72" s="0" t="s">
        <v>3</v>
      </c>
      <c r="AO72" s="0" t="n">
        <v>72.461458</v>
      </c>
      <c r="AP72" s="0" t="n">
        <v>1</v>
      </c>
      <c r="AQ72" s="0" t="n">
        <v>1</v>
      </c>
      <c r="AR72" s="0" t="s">
        <v>149</v>
      </c>
      <c r="AS72" s="2" t="str">
        <f aca="false">IF(AND(G72="true",J72="true",M72="true",P72="true",S72="true"),"true","false")</f>
        <v>false</v>
      </c>
      <c r="AT72" s="0" t="str">
        <f aca="false">IF(AND(Y72="true",AB72="true",AE72="true",AH72="true",AK72="true"),"true","false")</f>
        <v>false</v>
      </c>
    </row>
    <row r="73" customFormat="false" ht="12.8" hidden="false" customHeight="false" outlineLevel="0" collapsed="false">
      <c r="A73" s="0" t="s">
        <v>150</v>
      </c>
      <c r="B73" s="0" t="s">
        <v>1</v>
      </c>
      <c r="C73" s="0" t="s">
        <v>11</v>
      </c>
      <c r="D73" s="0" t="s">
        <v>3</v>
      </c>
      <c r="E73" s="0" t="n">
        <v>30.651423</v>
      </c>
      <c r="F73" s="0" t="s">
        <v>21</v>
      </c>
      <c r="G73" s="1" t="s">
        <v>5</v>
      </c>
      <c r="H73" s="0" t="n">
        <v>9.953003</v>
      </c>
      <c r="I73" s="0" t="s">
        <v>17</v>
      </c>
      <c r="J73" s="1" t="s">
        <v>5</v>
      </c>
      <c r="K73" s="0" t="n">
        <v>10.469169</v>
      </c>
      <c r="L73" s="0" t="s">
        <v>12</v>
      </c>
      <c r="M73" s="1" t="s">
        <v>5</v>
      </c>
      <c r="N73" s="0" t="n">
        <v>27.690787</v>
      </c>
      <c r="O73" s="0" t="s">
        <v>44</v>
      </c>
      <c r="P73" s="1" t="s">
        <v>6</v>
      </c>
      <c r="Q73" s="0" t="n">
        <v>13.67028</v>
      </c>
      <c r="R73" s="0" t="s">
        <v>9</v>
      </c>
      <c r="S73" s="1" t="s">
        <v>6</v>
      </c>
      <c r="T73" s="0" t="s">
        <v>10</v>
      </c>
      <c r="U73" s="0" t="s">
        <v>2</v>
      </c>
      <c r="V73" s="0" t="s">
        <v>3</v>
      </c>
      <c r="W73" s="0" t="n">
        <v>28.478835</v>
      </c>
      <c r="X73" s="0" t="s">
        <v>7</v>
      </c>
      <c r="Y73" s="1" t="s">
        <v>6</v>
      </c>
      <c r="Z73" s="0" t="n">
        <v>10.187891</v>
      </c>
      <c r="AA73" s="0" t="s">
        <v>7</v>
      </c>
      <c r="AB73" s="1" t="s">
        <v>5</v>
      </c>
      <c r="AC73" s="0" t="n">
        <v>5.608816</v>
      </c>
      <c r="AD73" s="0" t="s">
        <v>7</v>
      </c>
      <c r="AE73" s="1" t="s">
        <v>6</v>
      </c>
      <c r="AF73" s="0" t="n">
        <v>2.29588</v>
      </c>
      <c r="AG73" s="0" t="s">
        <v>151</v>
      </c>
      <c r="AH73" s="1" t="s">
        <v>6</v>
      </c>
      <c r="AI73" s="0" t="n">
        <v>2.505579</v>
      </c>
      <c r="AJ73" s="0" t="s">
        <v>15</v>
      </c>
      <c r="AK73" s="1" t="s">
        <v>6</v>
      </c>
      <c r="AL73" s="0" t="s">
        <v>11</v>
      </c>
      <c r="AM73" s="0" t="s">
        <v>2</v>
      </c>
      <c r="AN73" s="0" t="s">
        <v>3</v>
      </c>
      <c r="AO73" s="0" t="n">
        <v>3.66679</v>
      </c>
      <c r="AP73" s="0" t="n">
        <v>-1</v>
      </c>
      <c r="AQ73" s="0" t="n">
        <v>-1</v>
      </c>
      <c r="AS73" s="2" t="str">
        <f aca="false">IF(AND(G73="true",J73="true",M73="true",P73="true",S73="true"),"true","false")</f>
        <v>false</v>
      </c>
      <c r="AT73" s="0" t="str">
        <f aca="false">IF(AND(Y73="true",AB73="true",AE73="true",AH73="true",AK73="true"),"true","false")</f>
        <v>false</v>
      </c>
    </row>
    <row r="74" customFormat="false" ht="12.8" hidden="false" customHeight="false" outlineLevel="0" collapsed="false">
      <c r="A74" s="0" t="s">
        <v>152</v>
      </c>
      <c r="B74" s="0" t="s">
        <v>1</v>
      </c>
      <c r="C74" s="0" t="s">
        <v>2</v>
      </c>
      <c r="D74" s="0" t="s">
        <v>3</v>
      </c>
      <c r="E74" s="0" t="n">
        <v>9.151533</v>
      </c>
      <c r="F74" s="0" t="s">
        <v>7</v>
      </c>
      <c r="G74" s="1" t="s">
        <v>6</v>
      </c>
      <c r="H74" s="0" t="n">
        <v>17.860803</v>
      </c>
      <c r="I74" s="0" t="s">
        <v>82</v>
      </c>
      <c r="J74" s="1" t="s">
        <v>6</v>
      </c>
      <c r="K74" s="0" t="n">
        <v>8.194521</v>
      </c>
      <c r="L74" s="0" t="s">
        <v>7</v>
      </c>
      <c r="M74" s="1" t="s">
        <v>6</v>
      </c>
      <c r="N74" s="0" t="n">
        <v>15.464015</v>
      </c>
      <c r="O74" s="0" t="s">
        <v>75</v>
      </c>
      <c r="P74" s="1" t="s">
        <v>6</v>
      </c>
      <c r="Q74" s="0" t="n">
        <v>10.460712</v>
      </c>
      <c r="R74" s="0" t="s">
        <v>9</v>
      </c>
      <c r="S74" s="1" t="s">
        <v>6</v>
      </c>
      <c r="T74" s="0" t="s">
        <v>10</v>
      </c>
      <c r="U74" s="0" t="s">
        <v>11</v>
      </c>
      <c r="V74" s="0" t="s">
        <v>3</v>
      </c>
      <c r="W74" s="0" t="n">
        <v>10.636011</v>
      </c>
      <c r="X74" s="0" t="s">
        <v>17</v>
      </c>
      <c r="Y74" s="1" t="s">
        <v>6</v>
      </c>
      <c r="Z74" s="0" t="n">
        <v>9.793194</v>
      </c>
      <c r="AA74" s="0" t="s">
        <v>17</v>
      </c>
      <c r="AB74" s="1" t="s">
        <v>5</v>
      </c>
      <c r="AC74" s="0" t="n">
        <v>13.125624</v>
      </c>
      <c r="AD74" s="0" t="s">
        <v>17</v>
      </c>
      <c r="AE74" s="1" t="s">
        <v>6</v>
      </c>
      <c r="AF74" s="0" t="n">
        <v>8.860945</v>
      </c>
      <c r="AG74" s="0" t="s">
        <v>111</v>
      </c>
      <c r="AH74" s="1" t="s">
        <v>6</v>
      </c>
      <c r="AI74" s="0" t="n">
        <v>6.680924</v>
      </c>
      <c r="AJ74" s="0" t="s">
        <v>15</v>
      </c>
      <c r="AK74" s="1" t="s">
        <v>5</v>
      </c>
      <c r="AL74" s="0" t="s">
        <v>2</v>
      </c>
      <c r="AM74" s="0" t="s">
        <v>11</v>
      </c>
      <c r="AN74" s="0" t="s">
        <v>3</v>
      </c>
      <c r="AO74" s="0" t="n">
        <v>6.59098</v>
      </c>
      <c r="AP74" s="0" t="n">
        <v>1</v>
      </c>
      <c r="AQ74" s="0" t="n">
        <v>0</v>
      </c>
      <c r="AS74" s="2" t="str">
        <f aca="false">IF(AND(G74="true",J74="true",M74="true",P74="true",S74="true"),"true","false")</f>
        <v>false</v>
      </c>
      <c r="AT74" s="0" t="str">
        <f aca="false">IF(AND(Y74="true",AB74="true",AE74="true",AH74="true",AK74="true"),"true","false")</f>
        <v>false</v>
      </c>
    </row>
    <row r="75" customFormat="false" ht="12.8" hidden="false" customHeight="false" outlineLevel="0" collapsed="false">
      <c r="A75" s="0" t="s">
        <v>153</v>
      </c>
      <c r="B75" s="0" t="s">
        <v>1</v>
      </c>
      <c r="C75" s="0" t="s">
        <v>2</v>
      </c>
      <c r="D75" s="0" t="s">
        <v>3</v>
      </c>
      <c r="E75" s="0" t="n">
        <v>15.975847</v>
      </c>
      <c r="F75" s="0" t="s">
        <v>4</v>
      </c>
      <c r="G75" s="1" t="s">
        <v>5</v>
      </c>
      <c r="H75" s="0" t="n">
        <v>13.186975</v>
      </c>
      <c r="I75" s="0" t="s">
        <v>7</v>
      </c>
      <c r="J75" s="1" t="s">
        <v>5</v>
      </c>
      <c r="K75" s="0" t="n">
        <v>5.181765</v>
      </c>
      <c r="L75" s="0" t="s">
        <v>46</v>
      </c>
      <c r="M75" s="1" t="s">
        <v>6</v>
      </c>
      <c r="N75" s="0" t="n">
        <v>23.703185</v>
      </c>
      <c r="O75" s="0" t="s">
        <v>8</v>
      </c>
      <c r="P75" s="1" t="s">
        <v>5</v>
      </c>
      <c r="Q75" s="0" t="n">
        <v>15.058349</v>
      </c>
      <c r="R75" s="0" t="s">
        <v>9</v>
      </c>
      <c r="S75" s="1" t="s">
        <v>6</v>
      </c>
      <c r="T75" s="0" t="s">
        <v>10</v>
      </c>
      <c r="U75" s="0" t="s">
        <v>11</v>
      </c>
      <c r="V75" s="0" t="s">
        <v>3</v>
      </c>
      <c r="W75" s="0" t="n">
        <v>17.26524</v>
      </c>
      <c r="X75" s="0" t="s">
        <v>21</v>
      </c>
      <c r="Y75" s="1" t="s">
        <v>5</v>
      </c>
      <c r="Z75" s="0" t="n">
        <v>26.344009</v>
      </c>
      <c r="AA75" s="0" t="s">
        <v>17</v>
      </c>
      <c r="AB75" s="1" t="s">
        <v>5</v>
      </c>
      <c r="AC75" s="0" t="n">
        <v>5.518</v>
      </c>
      <c r="AD75" s="0" t="s">
        <v>12</v>
      </c>
      <c r="AE75" s="1" t="s">
        <v>5</v>
      </c>
      <c r="AF75" s="0" t="n">
        <v>130.213827</v>
      </c>
      <c r="AG75" s="0" t="s">
        <v>22</v>
      </c>
      <c r="AH75" s="1" t="s">
        <v>6</v>
      </c>
      <c r="AI75" s="0" t="n">
        <v>7.147007</v>
      </c>
      <c r="AJ75" s="0" t="s">
        <v>15</v>
      </c>
      <c r="AK75" s="1" t="s">
        <v>5</v>
      </c>
      <c r="AL75" s="0" t="s">
        <v>2</v>
      </c>
      <c r="AM75" s="0" t="s">
        <v>11</v>
      </c>
      <c r="AN75" s="0" t="s">
        <v>3</v>
      </c>
      <c r="AO75" s="0" t="n">
        <v>207.441659</v>
      </c>
      <c r="AP75" s="0" t="n">
        <v>1</v>
      </c>
      <c r="AQ75" s="0" t="n">
        <v>1</v>
      </c>
      <c r="AR75" s="0" t="s">
        <v>154</v>
      </c>
      <c r="AS75" s="2" t="str">
        <f aca="false">IF(AND(G75="true",J75="true",M75="true",P75="true",S75="true"),"true","false")</f>
        <v>false</v>
      </c>
      <c r="AT75" s="0" t="str">
        <f aca="false">IF(AND(Y75="true",AB75="true",AE75="true",AH75="true",AK75="true"),"true","false")</f>
        <v>false</v>
      </c>
    </row>
    <row r="76" customFormat="false" ht="12.8" hidden="false" customHeight="false" outlineLevel="0" collapsed="false">
      <c r="A76" s="0" t="s">
        <v>155</v>
      </c>
      <c r="B76" s="0" t="s">
        <v>1</v>
      </c>
      <c r="C76" s="0" t="s">
        <v>2</v>
      </c>
      <c r="D76" s="0" t="s">
        <v>3</v>
      </c>
      <c r="E76" s="0" t="n">
        <v>60.422666</v>
      </c>
      <c r="F76" s="0" t="s">
        <v>4</v>
      </c>
      <c r="G76" s="1" t="s">
        <v>5</v>
      </c>
      <c r="H76" s="0" t="n">
        <v>22.692693</v>
      </c>
      <c r="I76" s="0" t="s">
        <v>7</v>
      </c>
      <c r="J76" s="1" t="s">
        <v>5</v>
      </c>
      <c r="K76" s="0" t="n">
        <v>13.385578</v>
      </c>
      <c r="L76" s="0" t="s">
        <v>4</v>
      </c>
      <c r="M76" s="1" t="s">
        <v>5</v>
      </c>
      <c r="N76" s="0" t="n">
        <v>61.219608</v>
      </c>
      <c r="O76" s="0" t="s">
        <v>8</v>
      </c>
      <c r="P76" s="1" t="s">
        <v>5</v>
      </c>
      <c r="Q76" s="0" t="n">
        <v>61.061821</v>
      </c>
      <c r="R76" s="0" t="s">
        <v>15</v>
      </c>
      <c r="S76" s="1" t="s">
        <v>6</v>
      </c>
      <c r="T76" s="0" t="s">
        <v>10</v>
      </c>
      <c r="U76" s="0" t="s">
        <v>11</v>
      </c>
      <c r="V76" s="0" t="s">
        <v>3</v>
      </c>
      <c r="W76" s="0" t="n">
        <v>26.544866</v>
      </c>
      <c r="X76" s="0" t="s">
        <v>21</v>
      </c>
      <c r="Y76" s="1" t="s">
        <v>5</v>
      </c>
      <c r="Z76" s="0" t="n">
        <v>75.219659</v>
      </c>
      <c r="AA76" s="0" t="s">
        <v>17</v>
      </c>
      <c r="AB76" s="1" t="s">
        <v>5</v>
      </c>
      <c r="AC76" s="0" t="n">
        <v>32.433315</v>
      </c>
      <c r="AD76" s="0" t="s">
        <v>12</v>
      </c>
      <c r="AE76" s="1" t="s">
        <v>5</v>
      </c>
      <c r="AF76" s="0" t="n">
        <v>33.033098</v>
      </c>
      <c r="AG76" s="0" t="s">
        <v>22</v>
      </c>
      <c r="AH76" s="1" t="s">
        <v>6</v>
      </c>
      <c r="AI76" s="0" t="n">
        <v>24.725575</v>
      </c>
      <c r="AJ76" s="0" t="s">
        <v>15</v>
      </c>
      <c r="AK76" s="1" t="s">
        <v>5</v>
      </c>
      <c r="AL76" s="0" t="s">
        <v>2</v>
      </c>
      <c r="AM76" s="0" t="s">
        <v>11</v>
      </c>
      <c r="AN76" s="0" t="s">
        <v>3</v>
      </c>
      <c r="AO76" s="0" t="n">
        <v>49.731477</v>
      </c>
      <c r="AP76" s="0" t="n">
        <v>2</v>
      </c>
      <c r="AQ76" s="0" t="n">
        <v>1</v>
      </c>
      <c r="AR76" s="0" t="s">
        <v>156</v>
      </c>
      <c r="AS76" s="2" t="str">
        <f aca="false">IF(AND(G76="true",J76="true",M76="true",P76="true",S76="true"),"true","false")</f>
        <v>false</v>
      </c>
      <c r="AT76" s="0" t="str">
        <f aca="false">IF(AND(Y76="true",AB76="true",AE76="true",AH76="true",AK76="true"),"true","false")</f>
        <v>false</v>
      </c>
    </row>
    <row r="77" customFormat="false" ht="12.8" hidden="false" customHeight="false" outlineLevel="0" collapsed="false">
      <c r="A77" s="0" t="s">
        <v>157</v>
      </c>
      <c r="B77" s="0" t="s">
        <v>1</v>
      </c>
      <c r="C77" s="0" t="s">
        <v>2</v>
      </c>
      <c r="D77" s="0" t="s">
        <v>3</v>
      </c>
      <c r="E77" s="0" t="n">
        <v>29.738431</v>
      </c>
      <c r="F77" s="0" t="s">
        <v>4</v>
      </c>
      <c r="G77" s="1" t="s">
        <v>5</v>
      </c>
      <c r="H77" s="0" t="n">
        <v>26.132077</v>
      </c>
      <c r="I77" s="0" t="s">
        <v>7</v>
      </c>
      <c r="J77" s="1" t="s">
        <v>5</v>
      </c>
      <c r="K77" s="0" t="n">
        <v>11.428266</v>
      </c>
      <c r="L77" s="0" t="s">
        <v>4</v>
      </c>
      <c r="M77" s="1" t="s">
        <v>5</v>
      </c>
      <c r="N77" s="0" t="n">
        <v>24.504747</v>
      </c>
      <c r="O77" s="0" t="s">
        <v>8</v>
      </c>
      <c r="P77" s="1" t="s">
        <v>5</v>
      </c>
      <c r="Q77" s="0" t="n">
        <v>22.666095</v>
      </c>
      <c r="R77" s="0" t="s">
        <v>9</v>
      </c>
      <c r="S77" s="1" t="s">
        <v>6</v>
      </c>
      <c r="T77" s="0" t="s">
        <v>10</v>
      </c>
      <c r="U77" s="0" t="s">
        <v>11</v>
      </c>
      <c r="V77" s="0" t="s">
        <v>3</v>
      </c>
      <c r="W77" s="0" t="n">
        <v>46.671344</v>
      </c>
      <c r="X77" s="0" t="s">
        <v>30</v>
      </c>
      <c r="Y77" s="1" t="s">
        <v>6</v>
      </c>
      <c r="Z77" s="0" t="n">
        <v>33.929454</v>
      </c>
      <c r="AA77" s="0" t="s">
        <v>12</v>
      </c>
      <c r="AB77" s="1" t="s">
        <v>6</v>
      </c>
      <c r="AC77" s="0" t="n">
        <v>23.157715</v>
      </c>
      <c r="AD77" s="0" t="s">
        <v>17</v>
      </c>
      <c r="AE77" s="1" t="s">
        <v>6</v>
      </c>
      <c r="AF77" s="0" t="n">
        <v>33.507024</v>
      </c>
      <c r="AG77" s="0" t="s">
        <v>158</v>
      </c>
      <c r="AH77" s="1" t="s">
        <v>6</v>
      </c>
      <c r="AI77" s="0" t="n">
        <v>26.322199</v>
      </c>
      <c r="AJ77" s="0" t="s">
        <v>15</v>
      </c>
      <c r="AK77" s="1" t="s">
        <v>5</v>
      </c>
      <c r="AL77" s="0" t="s">
        <v>2</v>
      </c>
      <c r="AM77" s="0" t="s">
        <v>11</v>
      </c>
      <c r="AN77" s="0" t="s">
        <v>3</v>
      </c>
      <c r="AO77" s="0" t="n">
        <v>19.796648</v>
      </c>
      <c r="AP77" s="0" t="n">
        <v>1</v>
      </c>
      <c r="AQ77" s="0" t="n">
        <v>0</v>
      </c>
      <c r="AS77" s="2" t="str">
        <f aca="false">IF(AND(G77="true",J77="true",M77="true",P77="true",S77="true"),"true","false")</f>
        <v>false</v>
      </c>
      <c r="AT77" s="0" t="str">
        <f aca="false">IF(AND(Y77="true",AB77="true",AE77="true",AH77="true",AK77="true"),"true","false")</f>
        <v>false</v>
      </c>
    </row>
    <row r="78" customFormat="false" ht="12.8" hidden="false" customHeight="false" outlineLevel="0" collapsed="false">
      <c r="A78" s="0" t="s">
        <v>159</v>
      </c>
      <c r="B78" s="0" t="s">
        <v>1</v>
      </c>
      <c r="C78" s="0" t="s">
        <v>11</v>
      </c>
      <c r="D78" s="0" t="s">
        <v>3</v>
      </c>
      <c r="E78" s="0" t="n">
        <v>11.715054</v>
      </c>
      <c r="F78" s="0" t="s">
        <v>12</v>
      </c>
      <c r="G78" s="1" t="s">
        <v>6</v>
      </c>
      <c r="H78" s="0" t="n">
        <v>15.525091</v>
      </c>
      <c r="I78" s="0" t="s">
        <v>17</v>
      </c>
      <c r="J78" s="1" t="s">
        <v>5</v>
      </c>
      <c r="K78" s="0" t="n">
        <v>12.386373</v>
      </c>
      <c r="L78" s="0" t="s">
        <v>12</v>
      </c>
      <c r="M78" s="1" t="s">
        <v>5</v>
      </c>
      <c r="N78" s="0" t="n">
        <v>37.155937</v>
      </c>
      <c r="O78" s="0" t="s">
        <v>19</v>
      </c>
      <c r="P78" s="1" t="s">
        <v>5</v>
      </c>
      <c r="Q78" s="0" t="n">
        <v>33.647849</v>
      </c>
      <c r="R78" s="0" t="s">
        <v>9</v>
      </c>
      <c r="S78" s="1" t="s">
        <v>6</v>
      </c>
      <c r="T78" s="0" t="s">
        <v>10</v>
      </c>
      <c r="U78" s="0" t="s">
        <v>2</v>
      </c>
      <c r="V78" s="0" t="s">
        <v>3</v>
      </c>
      <c r="W78" s="0" t="n">
        <v>27.229513</v>
      </c>
      <c r="X78" s="0" t="s">
        <v>4</v>
      </c>
      <c r="Y78" s="1" t="s">
        <v>5</v>
      </c>
      <c r="Z78" s="0" t="n">
        <v>8.842205</v>
      </c>
      <c r="AA78" s="0" t="s">
        <v>7</v>
      </c>
      <c r="AB78" s="1" t="s">
        <v>5</v>
      </c>
      <c r="AC78" s="0" t="n">
        <v>10.729383</v>
      </c>
      <c r="AD78" s="0" t="s">
        <v>4</v>
      </c>
      <c r="AE78" s="1" t="s">
        <v>5</v>
      </c>
      <c r="AF78" s="0" t="n">
        <v>14.38952</v>
      </c>
      <c r="AG78" s="0" t="s">
        <v>8</v>
      </c>
      <c r="AH78" s="1" t="s">
        <v>5</v>
      </c>
      <c r="AI78" s="0" t="n">
        <v>11.392677</v>
      </c>
      <c r="AJ78" s="0" t="s">
        <v>9</v>
      </c>
      <c r="AK78" s="1" t="s">
        <v>5</v>
      </c>
      <c r="AL78" s="0" t="s">
        <v>11</v>
      </c>
      <c r="AM78" s="0" t="s">
        <v>2</v>
      </c>
      <c r="AN78" s="0" t="s">
        <v>3</v>
      </c>
      <c r="AO78" s="0" t="n">
        <v>22.430977</v>
      </c>
      <c r="AP78" s="0" t="n">
        <v>2</v>
      </c>
      <c r="AQ78" s="0" t="n">
        <v>2</v>
      </c>
      <c r="AS78" s="2" t="str">
        <f aca="false">IF(AND(G78="true",J78="true",M78="true",P78="true",S78="true"),"true","false")</f>
        <v>false</v>
      </c>
      <c r="AT78" s="0" t="str">
        <f aca="false">IF(AND(Y78="true",AB78="true",AE78="true",AH78="true",AK78="true"),"true","false")</f>
        <v>true</v>
      </c>
    </row>
    <row r="79" customFormat="false" ht="12.8" hidden="false" customHeight="false" outlineLevel="0" collapsed="false">
      <c r="A79" s="0" t="s">
        <v>160</v>
      </c>
      <c r="B79" s="0" t="s">
        <v>1</v>
      </c>
      <c r="C79" s="0" t="s">
        <v>2</v>
      </c>
      <c r="D79" s="0" t="s">
        <v>3</v>
      </c>
      <c r="E79" s="0" t="n">
        <v>34.010257</v>
      </c>
      <c r="F79" s="0" t="s">
        <v>4</v>
      </c>
      <c r="G79" s="1" t="s">
        <v>5</v>
      </c>
      <c r="H79" s="0" t="n">
        <v>19.005303</v>
      </c>
      <c r="I79" s="0" t="s">
        <v>7</v>
      </c>
      <c r="J79" s="1" t="s">
        <v>5</v>
      </c>
      <c r="K79" s="0" t="n">
        <v>8.244483</v>
      </c>
      <c r="L79" s="0" t="s">
        <v>4</v>
      </c>
      <c r="M79" s="1" t="s">
        <v>5</v>
      </c>
      <c r="N79" s="0" t="n">
        <v>14.301808</v>
      </c>
      <c r="P79" s="1" t="s">
        <v>6</v>
      </c>
      <c r="Q79" s="0" t="n">
        <v>26.527621</v>
      </c>
      <c r="R79" s="0" t="s">
        <v>9</v>
      </c>
      <c r="S79" s="1" t="s">
        <v>6</v>
      </c>
      <c r="T79" s="0" t="s">
        <v>10</v>
      </c>
      <c r="U79" s="0" t="s">
        <v>11</v>
      </c>
      <c r="V79" s="0" t="s">
        <v>3</v>
      </c>
      <c r="W79" s="0" t="n">
        <v>73.820062</v>
      </c>
      <c r="X79" s="0" t="s">
        <v>21</v>
      </c>
      <c r="Y79" s="1" t="s">
        <v>5</v>
      </c>
      <c r="Z79" s="0" t="n">
        <v>12.83038</v>
      </c>
      <c r="AA79" s="0" t="s">
        <v>18</v>
      </c>
      <c r="AB79" s="1" t="s">
        <v>6</v>
      </c>
      <c r="AC79" s="0" t="n">
        <v>28.958884</v>
      </c>
      <c r="AD79" s="0" t="s">
        <v>18</v>
      </c>
      <c r="AE79" s="1" t="s">
        <v>6</v>
      </c>
      <c r="AF79" s="0" t="n">
        <v>44.575786</v>
      </c>
      <c r="AH79" s="1" t="s">
        <v>6</v>
      </c>
      <c r="AI79" s="0" t="n">
        <v>22.871667</v>
      </c>
      <c r="AJ79" s="0" t="s">
        <v>51</v>
      </c>
      <c r="AK79" s="1" t="s">
        <v>6</v>
      </c>
      <c r="AL79" s="0" t="s">
        <v>2</v>
      </c>
      <c r="AM79" s="0" t="s">
        <v>11</v>
      </c>
      <c r="AN79" s="0" t="s">
        <v>3</v>
      </c>
      <c r="AO79" s="0" t="n">
        <v>108.413145</v>
      </c>
      <c r="AP79" s="0" t="n">
        <v>-1</v>
      </c>
      <c r="AQ79" s="0" t="n">
        <v>-2</v>
      </c>
      <c r="AR79" s="0" t="s">
        <v>161</v>
      </c>
      <c r="AS79" s="2" t="str">
        <f aca="false">IF(AND(G79="true",J79="true",M79="true",P79="true",S79="true"),"true","false")</f>
        <v>false</v>
      </c>
      <c r="AT79" s="0" t="str">
        <f aca="false">IF(AND(Y79="true",AB79="true",AE79="true",AH79="true",AK79="true"),"true","false")</f>
        <v>false</v>
      </c>
    </row>
    <row r="80" customFormat="false" ht="12.8" hidden="false" customHeight="false" outlineLevel="0" collapsed="false">
      <c r="A80" s="0" t="s">
        <v>162</v>
      </c>
      <c r="B80" s="0" t="s">
        <v>1</v>
      </c>
      <c r="C80" s="0" t="s">
        <v>2</v>
      </c>
      <c r="D80" s="0" t="s">
        <v>3</v>
      </c>
      <c r="E80" s="0" t="n">
        <v>18.058404</v>
      </c>
      <c r="F80" s="0" t="s">
        <v>4</v>
      </c>
      <c r="G80" s="1" t="s">
        <v>5</v>
      </c>
      <c r="H80" s="0" t="n">
        <v>16.02613</v>
      </c>
      <c r="I80" s="0" t="s">
        <v>7</v>
      </c>
      <c r="J80" s="1" t="s">
        <v>5</v>
      </c>
      <c r="K80" s="0" t="n">
        <v>5.273392</v>
      </c>
      <c r="L80" s="0" t="s">
        <v>4</v>
      </c>
      <c r="M80" s="1" t="s">
        <v>5</v>
      </c>
      <c r="N80" s="0" t="n">
        <v>17.811736</v>
      </c>
      <c r="O80" s="0" t="s">
        <v>8</v>
      </c>
      <c r="P80" s="1" t="s">
        <v>5</v>
      </c>
      <c r="Q80" s="0" t="n">
        <v>33.019889</v>
      </c>
      <c r="R80" s="0" t="s">
        <v>9</v>
      </c>
      <c r="S80" s="1" t="s">
        <v>6</v>
      </c>
      <c r="T80" s="0" t="s">
        <v>10</v>
      </c>
      <c r="U80" s="0" t="s">
        <v>11</v>
      </c>
      <c r="V80" s="0" t="s">
        <v>3</v>
      </c>
      <c r="W80" s="0" t="n">
        <v>18.971712</v>
      </c>
      <c r="X80" s="0" t="s">
        <v>21</v>
      </c>
      <c r="Y80" s="1" t="s">
        <v>5</v>
      </c>
      <c r="Z80" s="0" t="n">
        <v>36.234124</v>
      </c>
      <c r="AA80" s="0" t="s">
        <v>12</v>
      </c>
      <c r="AB80" s="1" t="s">
        <v>6</v>
      </c>
      <c r="AC80" s="0" t="n">
        <v>19.843922</v>
      </c>
      <c r="AD80" s="0" t="s">
        <v>17</v>
      </c>
      <c r="AE80" s="1" t="s">
        <v>6</v>
      </c>
      <c r="AF80" s="0" t="n">
        <v>37.856457</v>
      </c>
      <c r="AG80" s="0" t="s">
        <v>22</v>
      </c>
      <c r="AH80" s="1" t="s">
        <v>6</v>
      </c>
      <c r="AI80" s="0" t="n">
        <v>10.276719</v>
      </c>
      <c r="AJ80" s="0" t="s">
        <v>15</v>
      </c>
      <c r="AK80" s="1" t="s">
        <v>5</v>
      </c>
      <c r="AL80" s="0" t="s">
        <v>2</v>
      </c>
      <c r="AM80" s="0" t="s">
        <v>11</v>
      </c>
      <c r="AN80" s="0" t="s">
        <v>3</v>
      </c>
      <c r="AO80" s="0" t="n">
        <v>28.678932</v>
      </c>
      <c r="AP80" s="0" t="n">
        <v>1</v>
      </c>
      <c r="AQ80" s="0" t="n">
        <v>-1</v>
      </c>
      <c r="AS80" s="2" t="str">
        <f aca="false">IF(AND(G80="true",J80="true",M80="true",P80="true",S80="true"),"true","false")</f>
        <v>false</v>
      </c>
      <c r="AT80" s="0" t="str">
        <f aca="false">IF(AND(Y80="true",AB80="true",AE80="true",AH80="true",AK80="true"),"true","false")</f>
        <v>false</v>
      </c>
    </row>
    <row r="81" customFormat="false" ht="12.8" hidden="false" customHeight="false" outlineLevel="0" collapsed="false">
      <c r="A81" s="0" t="s">
        <v>163</v>
      </c>
      <c r="B81" s="0" t="s">
        <v>1</v>
      </c>
      <c r="C81" s="0" t="s">
        <v>2</v>
      </c>
      <c r="D81" s="0" t="s">
        <v>3</v>
      </c>
      <c r="E81" s="0" t="n">
        <v>11.967711</v>
      </c>
      <c r="F81" s="0" t="s">
        <v>4</v>
      </c>
      <c r="G81" s="1" t="s">
        <v>5</v>
      </c>
      <c r="H81" s="0" t="n">
        <v>7.67925</v>
      </c>
      <c r="I81" s="0" t="s">
        <v>7</v>
      </c>
      <c r="J81" s="1" t="s">
        <v>5</v>
      </c>
      <c r="K81" s="0" t="n">
        <v>7.088935</v>
      </c>
      <c r="L81" s="0" t="s">
        <v>4</v>
      </c>
      <c r="M81" s="1" t="s">
        <v>5</v>
      </c>
      <c r="N81" s="0" t="n">
        <v>10.642198</v>
      </c>
      <c r="O81" s="0" t="s">
        <v>8</v>
      </c>
      <c r="P81" s="1" t="s">
        <v>5</v>
      </c>
      <c r="Q81" s="0" t="n">
        <v>10.447765</v>
      </c>
      <c r="R81" s="0" t="s">
        <v>15</v>
      </c>
      <c r="S81" s="1" t="s">
        <v>6</v>
      </c>
      <c r="T81" s="0" t="s">
        <v>10</v>
      </c>
      <c r="U81" s="0" t="s">
        <v>11</v>
      </c>
      <c r="V81" s="0" t="s">
        <v>3</v>
      </c>
      <c r="W81" s="0" t="n">
        <v>37.263451</v>
      </c>
      <c r="X81" s="0" t="s">
        <v>100</v>
      </c>
      <c r="Y81" s="1" t="s">
        <v>6</v>
      </c>
      <c r="Z81" s="0" t="n">
        <v>21.879072</v>
      </c>
      <c r="AA81" s="0" t="s">
        <v>17</v>
      </c>
      <c r="AB81" s="1" t="s">
        <v>5</v>
      </c>
      <c r="AC81" s="0" t="n">
        <v>8.014412</v>
      </c>
      <c r="AD81" s="0" t="s">
        <v>12</v>
      </c>
      <c r="AE81" s="1" t="s">
        <v>5</v>
      </c>
      <c r="AF81" s="0" t="n">
        <v>21.952372</v>
      </c>
      <c r="AG81" s="0" t="s">
        <v>111</v>
      </c>
      <c r="AH81" s="1" t="s">
        <v>6</v>
      </c>
      <c r="AI81" s="0" t="n">
        <v>3.615162</v>
      </c>
      <c r="AJ81" s="0" t="s">
        <v>51</v>
      </c>
      <c r="AK81" s="1" t="s">
        <v>6</v>
      </c>
      <c r="AL81" s="0" t="s">
        <v>2</v>
      </c>
      <c r="AM81" s="0" t="s">
        <v>11</v>
      </c>
      <c r="AN81" s="0" t="s">
        <v>3</v>
      </c>
      <c r="AO81" s="0" t="n">
        <v>12.193586</v>
      </c>
      <c r="AP81" s="0" t="n">
        <v>1</v>
      </c>
      <c r="AQ81" s="0" t="n">
        <v>-2</v>
      </c>
      <c r="AS81" s="2" t="str">
        <f aca="false">IF(AND(G81="true",J81="true",M81="true",P81="true",S81="true"),"true","false")</f>
        <v>false</v>
      </c>
      <c r="AT81" s="0" t="str">
        <f aca="false">IF(AND(Y81="true",AB81="true",AE81="true",AH81="true",AK81="true"),"true","false")</f>
        <v>false</v>
      </c>
    </row>
    <row r="82" customFormat="false" ht="12.8" hidden="false" customHeight="false" outlineLevel="0" collapsed="false">
      <c r="A82" s="0" t="s">
        <v>164</v>
      </c>
      <c r="B82" s="0" t="s">
        <v>1</v>
      </c>
      <c r="C82" s="0" t="s">
        <v>2</v>
      </c>
      <c r="D82" s="0" t="s">
        <v>3</v>
      </c>
      <c r="E82" s="0" t="n">
        <v>18.286044</v>
      </c>
      <c r="F82" s="0" t="s">
        <v>4</v>
      </c>
      <c r="G82" s="1" t="s">
        <v>5</v>
      </c>
      <c r="H82" s="0" t="n">
        <v>13.018767</v>
      </c>
      <c r="I82" s="0" t="s">
        <v>7</v>
      </c>
      <c r="J82" s="1" t="s">
        <v>5</v>
      </c>
      <c r="K82" s="0" t="n">
        <v>6.317845</v>
      </c>
      <c r="L82" s="0" t="s">
        <v>4</v>
      </c>
      <c r="M82" s="1" t="s">
        <v>5</v>
      </c>
      <c r="N82" s="0" t="n">
        <v>17.769898</v>
      </c>
      <c r="O82" s="0" t="s">
        <v>8</v>
      </c>
      <c r="P82" s="1" t="s">
        <v>5</v>
      </c>
      <c r="Q82" s="0" t="n">
        <v>12.101249</v>
      </c>
      <c r="R82" s="0" t="s">
        <v>15</v>
      </c>
      <c r="S82" s="1" t="s">
        <v>6</v>
      </c>
      <c r="T82" s="0" t="s">
        <v>10</v>
      </c>
      <c r="U82" s="0" t="s">
        <v>11</v>
      </c>
      <c r="V82" s="0" t="s">
        <v>3</v>
      </c>
      <c r="W82" s="0" t="n">
        <v>12.4109</v>
      </c>
      <c r="X82" s="0" t="s">
        <v>21</v>
      </c>
      <c r="Y82" s="1" t="s">
        <v>5</v>
      </c>
      <c r="Z82" s="0" t="n">
        <v>11.417089</v>
      </c>
      <c r="AA82" s="0" t="s">
        <v>17</v>
      </c>
      <c r="AB82" s="1" t="s">
        <v>5</v>
      </c>
      <c r="AC82" s="0" t="n">
        <v>9.877342</v>
      </c>
      <c r="AD82" s="0" t="s">
        <v>12</v>
      </c>
      <c r="AE82" s="1" t="s">
        <v>5</v>
      </c>
      <c r="AF82" s="0" t="n">
        <v>23.098939</v>
      </c>
      <c r="AG82" s="0" t="s">
        <v>22</v>
      </c>
      <c r="AH82" s="1" t="s">
        <v>6</v>
      </c>
      <c r="AI82" s="0" t="n">
        <v>7.958883</v>
      </c>
      <c r="AJ82" s="0" t="s">
        <v>15</v>
      </c>
      <c r="AK82" s="1" t="s">
        <v>5</v>
      </c>
      <c r="AL82" s="0" t="s">
        <v>2</v>
      </c>
      <c r="AM82" s="0" t="s">
        <v>11</v>
      </c>
      <c r="AN82" s="0" t="s">
        <v>3</v>
      </c>
      <c r="AO82" s="0" t="n">
        <v>99.829364</v>
      </c>
      <c r="AP82" s="0" t="n">
        <v>2</v>
      </c>
      <c r="AQ82" s="0" t="n">
        <v>2</v>
      </c>
      <c r="AS82" s="2" t="str">
        <f aca="false">IF(AND(G82="true",J82="true",M82="true",P82="true",S82="true"),"true","false")</f>
        <v>false</v>
      </c>
      <c r="AT82" s="0" t="str">
        <f aca="false">IF(AND(Y82="true",AB82="true",AE82="true",AH82="true",AK82="true"),"true","false")</f>
        <v>false</v>
      </c>
    </row>
    <row r="83" customFormat="false" ht="12.8" hidden="false" customHeight="false" outlineLevel="0" collapsed="false">
      <c r="A83" s="0" t="s">
        <v>165</v>
      </c>
      <c r="B83" s="0" t="s">
        <v>1</v>
      </c>
      <c r="C83" s="0" t="s">
        <v>2</v>
      </c>
      <c r="D83" s="0" t="s">
        <v>3</v>
      </c>
      <c r="E83" s="0" t="n">
        <v>15.352193</v>
      </c>
      <c r="F83" s="0" t="s">
        <v>4</v>
      </c>
      <c r="G83" s="1" t="s">
        <v>5</v>
      </c>
      <c r="H83" s="0" t="n">
        <v>16.412612</v>
      </c>
      <c r="I83" s="0" t="s">
        <v>7</v>
      </c>
      <c r="J83" s="1" t="s">
        <v>5</v>
      </c>
      <c r="K83" s="0" t="n">
        <v>11.941979</v>
      </c>
      <c r="L83" s="0" t="s">
        <v>4</v>
      </c>
      <c r="M83" s="1" t="s">
        <v>5</v>
      </c>
      <c r="N83" s="0" t="n">
        <v>22.410473</v>
      </c>
      <c r="O83" s="0" t="s">
        <v>8</v>
      </c>
      <c r="P83" s="1" t="s">
        <v>5</v>
      </c>
      <c r="Q83" s="0" t="n">
        <v>29.025227</v>
      </c>
      <c r="R83" s="0" t="s">
        <v>51</v>
      </c>
      <c r="S83" s="1" t="s">
        <v>5</v>
      </c>
      <c r="T83" s="0" t="s">
        <v>10</v>
      </c>
      <c r="U83" s="0" t="s">
        <v>11</v>
      </c>
      <c r="V83" s="0" t="s">
        <v>3</v>
      </c>
      <c r="W83" s="0" t="n">
        <v>14.574954</v>
      </c>
      <c r="X83" s="0" t="s">
        <v>21</v>
      </c>
      <c r="Y83" s="1" t="s">
        <v>5</v>
      </c>
      <c r="Z83" s="0" t="n">
        <v>26.587204</v>
      </c>
      <c r="AA83" s="0" t="s">
        <v>17</v>
      </c>
      <c r="AB83" s="1" t="s">
        <v>5</v>
      </c>
      <c r="AC83" s="0" t="n">
        <v>21.715988</v>
      </c>
      <c r="AD83" s="0" t="s">
        <v>17</v>
      </c>
      <c r="AE83" s="1" t="s">
        <v>6</v>
      </c>
      <c r="AF83" s="0" t="n">
        <v>33.099702</v>
      </c>
      <c r="AG83" s="0" t="s">
        <v>44</v>
      </c>
      <c r="AH83" s="1" t="s">
        <v>6</v>
      </c>
      <c r="AI83" s="0" t="n">
        <v>17.742225</v>
      </c>
      <c r="AJ83" s="0" t="s">
        <v>15</v>
      </c>
      <c r="AK83" s="1" t="s">
        <v>5</v>
      </c>
      <c r="AL83" s="0" t="s">
        <v>2</v>
      </c>
      <c r="AM83" s="0" t="s">
        <v>11</v>
      </c>
      <c r="AN83" s="0" t="s">
        <v>3</v>
      </c>
      <c r="AO83" s="0" t="n">
        <v>44.835725</v>
      </c>
      <c r="AP83" s="0" t="n">
        <v>2</v>
      </c>
      <c r="AQ83" s="0" t="n">
        <v>1</v>
      </c>
      <c r="AR83" s="0" t="s">
        <v>166</v>
      </c>
      <c r="AS83" s="2" t="str">
        <f aca="false">IF(AND(G83="true",J83="true",M83="true",P83="true",S83="true"),"true","false")</f>
        <v>true</v>
      </c>
      <c r="AT83" s="0" t="str">
        <f aca="false">IF(AND(Y83="true",AB83="true",AE83="true",AH83="true",AK83="true"),"true","false")</f>
        <v>false</v>
      </c>
    </row>
    <row r="84" customFormat="false" ht="12.8" hidden="false" customHeight="false" outlineLevel="0" collapsed="false">
      <c r="A84" s="0" t="s">
        <v>167</v>
      </c>
      <c r="B84" s="0" t="s">
        <v>1</v>
      </c>
      <c r="C84" s="0" t="s">
        <v>11</v>
      </c>
      <c r="D84" s="0" t="s">
        <v>3</v>
      </c>
      <c r="E84" s="0" t="n">
        <v>19.910724</v>
      </c>
      <c r="F84" s="0" t="s">
        <v>21</v>
      </c>
      <c r="G84" s="1" t="s">
        <v>5</v>
      </c>
      <c r="H84" s="0" t="n">
        <v>2.132284</v>
      </c>
      <c r="J84" s="1" t="s">
        <v>6</v>
      </c>
      <c r="K84" s="0" t="n">
        <v>18.489175</v>
      </c>
      <c r="L84" s="0" t="s">
        <v>12</v>
      </c>
      <c r="M84" s="1" t="s">
        <v>5</v>
      </c>
      <c r="N84" s="0" t="n">
        <v>28.349163</v>
      </c>
      <c r="O84" s="0" t="s">
        <v>22</v>
      </c>
      <c r="P84" s="1" t="s">
        <v>6</v>
      </c>
      <c r="Q84" s="0" t="n">
        <v>36.851789</v>
      </c>
      <c r="R84" s="0" t="s">
        <v>15</v>
      </c>
      <c r="S84" s="1" t="s">
        <v>6</v>
      </c>
      <c r="T84" s="0" t="s">
        <v>10</v>
      </c>
      <c r="U84" s="0" t="s">
        <v>2</v>
      </c>
      <c r="V84" s="0" t="s">
        <v>3</v>
      </c>
      <c r="W84" s="0" t="n">
        <v>28.824063</v>
      </c>
      <c r="X84" s="0" t="s">
        <v>39</v>
      </c>
      <c r="Y84" s="1" t="s">
        <v>6</v>
      </c>
      <c r="Z84" s="0" t="n">
        <v>35.991808</v>
      </c>
      <c r="AA84" s="0" t="s">
        <v>7</v>
      </c>
      <c r="AB84" s="1" t="s">
        <v>5</v>
      </c>
      <c r="AC84" s="0" t="n">
        <v>11.210885</v>
      </c>
      <c r="AD84" s="0" t="s">
        <v>4</v>
      </c>
      <c r="AE84" s="1" t="s">
        <v>5</v>
      </c>
      <c r="AF84" s="0" t="n">
        <v>61.927976</v>
      </c>
      <c r="AG84" s="0" t="s">
        <v>8</v>
      </c>
      <c r="AH84" s="1" t="s">
        <v>5</v>
      </c>
      <c r="AI84" s="0" t="n">
        <v>24.68028</v>
      </c>
      <c r="AJ84" s="0" t="s">
        <v>9</v>
      </c>
      <c r="AK84" s="1" t="s">
        <v>5</v>
      </c>
      <c r="AL84" s="0" t="s">
        <v>11</v>
      </c>
      <c r="AM84" s="0" t="s">
        <v>2</v>
      </c>
      <c r="AN84" s="0" t="s">
        <v>3</v>
      </c>
      <c r="AO84" s="0" t="n">
        <v>73.31781</v>
      </c>
      <c r="AP84" s="0" t="n">
        <v>1</v>
      </c>
      <c r="AQ84" s="0" t="n">
        <v>1</v>
      </c>
      <c r="AR84" s="0" t="s">
        <v>168</v>
      </c>
      <c r="AS84" s="2" t="str">
        <f aca="false">IF(AND(G84="true",J84="true",M84="true",P84="true",S84="true"),"true","false")</f>
        <v>false</v>
      </c>
      <c r="AT84" s="0" t="str">
        <f aca="false">IF(AND(Y84="true",AB84="true",AE84="true",AH84="true",AK84="true"),"true","false")</f>
        <v>false</v>
      </c>
    </row>
    <row r="85" customFormat="false" ht="12.8" hidden="false" customHeight="false" outlineLevel="0" collapsed="false">
      <c r="A85" s="0" t="s">
        <v>169</v>
      </c>
      <c r="B85" s="0" t="s">
        <v>1</v>
      </c>
      <c r="C85" s="0" t="s">
        <v>11</v>
      </c>
      <c r="D85" s="0" t="s">
        <v>3</v>
      </c>
      <c r="E85" s="0" t="n">
        <v>16.06917</v>
      </c>
      <c r="F85" s="0" t="s">
        <v>12</v>
      </c>
      <c r="G85" s="1" t="s">
        <v>6</v>
      </c>
      <c r="H85" s="0" t="n">
        <v>9.917509</v>
      </c>
      <c r="I85" s="0" t="s">
        <v>17</v>
      </c>
      <c r="J85" s="1" t="s">
        <v>5</v>
      </c>
      <c r="K85" s="0" t="n">
        <v>13.936568</v>
      </c>
      <c r="L85" s="0" t="s">
        <v>12</v>
      </c>
      <c r="M85" s="1" t="s">
        <v>5</v>
      </c>
      <c r="N85" s="0" t="n">
        <v>30.221218</v>
      </c>
      <c r="O85" s="0" t="s">
        <v>22</v>
      </c>
      <c r="P85" s="1" t="s">
        <v>6</v>
      </c>
      <c r="Q85" s="0" t="n">
        <v>21.276436</v>
      </c>
      <c r="R85" s="0" t="s">
        <v>15</v>
      </c>
      <c r="S85" s="1" t="s">
        <v>6</v>
      </c>
      <c r="T85" s="0" t="s">
        <v>10</v>
      </c>
      <c r="U85" s="0" t="s">
        <v>2</v>
      </c>
      <c r="V85" s="0" t="s">
        <v>3</v>
      </c>
      <c r="W85" s="0" t="n">
        <v>13.940111</v>
      </c>
      <c r="X85" s="0" t="s">
        <v>4</v>
      </c>
      <c r="Y85" s="1" t="s">
        <v>5</v>
      </c>
      <c r="Z85" s="0" t="n">
        <v>16.14977</v>
      </c>
      <c r="AA85" s="0" t="s">
        <v>7</v>
      </c>
      <c r="AB85" s="1" t="s">
        <v>5</v>
      </c>
      <c r="AC85" s="0" t="n">
        <v>4.179248</v>
      </c>
      <c r="AD85" s="0" t="s">
        <v>4</v>
      </c>
      <c r="AE85" s="1" t="s">
        <v>5</v>
      </c>
      <c r="AF85" s="0" t="n">
        <v>26.592154</v>
      </c>
      <c r="AG85" s="0" t="s">
        <v>8</v>
      </c>
      <c r="AH85" s="1" t="s">
        <v>5</v>
      </c>
      <c r="AI85" s="0" t="n">
        <v>31.27359</v>
      </c>
      <c r="AJ85" s="0" t="s">
        <v>9</v>
      </c>
      <c r="AK85" s="1" t="s">
        <v>5</v>
      </c>
      <c r="AL85" s="0" t="s">
        <v>11</v>
      </c>
      <c r="AM85" s="0" t="s">
        <v>2</v>
      </c>
      <c r="AN85" s="0" t="s">
        <v>3</v>
      </c>
      <c r="AO85" s="0" t="n">
        <v>73.055161</v>
      </c>
      <c r="AP85" s="0" t="n">
        <v>-1</v>
      </c>
      <c r="AQ85" s="0" t="n">
        <v>1</v>
      </c>
      <c r="AR85" s="0" t="s">
        <v>170</v>
      </c>
      <c r="AS85" s="2" t="str">
        <f aca="false">IF(AND(G85="true",J85="true",M85="true",P85="true",S85="true"),"true","false")</f>
        <v>false</v>
      </c>
      <c r="AT85" s="0" t="str">
        <f aca="false">IF(AND(Y85="true",AB85="true",AE85="true",AH85="true",AK85="true"),"true","false")</f>
        <v>true</v>
      </c>
    </row>
    <row r="86" customFormat="false" ht="12.8" hidden="false" customHeight="false" outlineLevel="0" collapsed="false">
      <c r="A86" s="0" t="s">
        <v>171</v>
      </c>
      <c r="B86" s="0" t="s">
        <v>1</v>
      </c>
      <c r="C86" s="0" t="s">
        <v>2</v>
      </c>
      <c r="D86" s="0" t="s">
        <v>3</v>
      </c>
      <c r="E86" s="0" t="n">
        <v>24.761293</v>
      </c>
      <c r="F86" s="0" t="s">
        <v>7</v>
      </c>
      <c r="G86" s="1" t="s">
        <v>6</v>
      </c>
      <c r="H86" s="0" t="n">
        <v>48.304879</v>
      </c>
      <c r="I86" s="0" t="s">
        <v>4</v>
      </c>
      <c r="J86" s="1" t="s">
        <v>6</v>
      </c>
      <c r="K86" s="0" t="n">
        <v>35.35825</v>
      </c>
      <c r="L86" s="0" t="s">
        <v>4</v>
      </c>
      <c r="M86" s="1" t="s">
        <v>5</v>
      </c>
      <c r="N86" s="0" t="n">
        <v>31.754984</v>
      </c>
      <c r="O86" s="0" t="s">
        <v>8</v>
      </c>
      <c r="P86" s="1" t="s">
        <v>5</v>
      </c>
      <c r="Q86" s="0" t="n">
        <v>38.819561</v>
      </c>
      <c r="R86" s="0" t="s">
        <v>15</v>
      </c>
      <c r="S86" s="1" t="s">
        <v>6</v>
      </c>
      <c r="T86" s="0" t="s">
        <v>10</v>
      </c>
      <c r="U86" s="0" t="s">
        <v>11</v>
      </c>
      <c r="V86" s="0" t="s">
        <v>3</v>
      </c>
      <c r="W86" s="0" t="n">
        <v>29.120257</v>
      </c>
      <c r="X86" s="0" t="s">
        <v>21</v>
      </c>
      <c r="Y86" s="1" t="s">
        <v>5</v>
      </c>
      <c r="Z86" s="0" t="n">
        <v>25.264926</v>
      </c>
      <c r="AA86" s="0" t="s">
        <v>17</v>
      </c>
      <c r="AB86" s="1" t="s">
        <v>5</v>
      </c>
      <c r="AC86" s="0" t="n">
        <v>15.715364</v>
      </c>
      <c r="AD86" s="0" t="s">
        <v>12</v>
      </c>
      <c r="AE86" s="1" t="s">
        <v>5</v>
      </c>
      <c r="AF86" s="0" t="n">
        <v>61.985666</v>
      </c>
      <c r="AG86" s="0" t="s">
        <v>22</v>
      </c>
      <c r="AH86" s="1" t="s">
        <v>6</v>
      </c>
      <c r="AI86" s="0" t="n">
        <v>14.766476</v>
      </c>
      <c r="AJ86" s="0" t="s">
        <v>15</v>
      </c>
      <c r="AK86" s="1" t="s">
        <v>5</v>
      </c>
      <c r="AL86" s="0" t="s">
        <v>2</v>
      </c>
      <c r="AM86" s="0" t="s">
        <v>11</v>
      </c>
      <c r="AN86" s="0" t="s">
        <v>3</v>
      </c>
      <c r="AO86" s="0" t="n">
        <v>39.148801</v>
      </c>
      <c r="AP86" s="0" t="n">
        <v>1</v>
      </c>
      <c r="AQ86" s="0" t="n">
        <v>1</v>
      </c>
      <c r="AS86" s="2" t="str">
        <f aca="false">IF(AND(G86="true",J86="true",M86="true",P86="true",S86="true"),"true","false")</f>
        <v>false</v>
      </c>
      <c r="AT86" s="0" t="str">
        <f aca="false">IF(AND(Y86="true",AB86="true",AE86="true",AH86="true",AK86="true"),"true","false")</f>
        <v>false</v>
      </c>
    </row>
    <row r="87" customFormat="false" ht="12.8" hidden="false" customHeight="false" outlineLevel="0" collapsed="false">
      <c r="A87" s="0" t="s">
        <v>172</v>
      </c>
      <c r="B87" s="0" t="s">
        <v>1</v>
      </c>
      <c r="C87" s="0" t="s">
        <v>2</v>
      </c>
      <c r="D87" s="0" t="s">
        <v>3</v>
      </c>
      <c r="E87" s="0" t="n">
        <v>65.796358</v>
      </c>
      <c r="F87" s="0" t="s">
        <v>4</v>
      </c>
      <c r="G87" s="1" t="s">
        <v>5</v>
      </c>
      <c r="H87" s="0" t="n">
        <v>19.337492</v>
      </c>
      <c r="I87" s="0" t="s">
        <v>81</v>
      </c>
      <c r="J87" s="1" t="s">
        <v>6</v>
      </c>
      <c r="K87" s="0" t="n">
        <v>15.94635</v>
      </c>
      <c r="L87" s="0" t="s">
        <v>4</v>
      </c>
      <c r="M87" s="1" t="s">
        <v>5</v>
      </c>
      <c r="N87" s="0" t="n">
        <v>24.615093</v>
      </c>
      <c r="O87" s="0" t="s">
        <v>8</v>
      </c>
      <c r="P87" s="1" t="s">
        <v>5</v>
      </c>
      <c r="Q87" s="0" t="n">
        <v>9.616194</v>
      </c>
      <c r="R87" s="0" t="s">
        <v>9</v>
      </c>
      <c r="S87" s="1" t="s">
        <v>6</v>
      </c>
      <c r="T87" s="0" t="s">
        <v>10</v>
      </c>
      <c r="U87" s="0" t="s">
        <v>11</v>
      </c>
      <c r="V87" s="0" t="s">
        <v>3</v>
      </c>
      <c r="W87" s="0" t="n">
        <v>20.964282</v>
      </c>
      <c r="X87" s="0" t="s">
        <v>21</v>
      </c>
      <c r="Y87" s="1" t="s">
        <v>5</v>
      </c>
      <c r="Z87" s="0" t="n">
        <v>18.894909</v>
      </c>
      <c r="AA87" s="0" t="s">
        <v>17</v>
      </c>
      <c r="AB87" s="1" t="s">
        <v>5</v>
      </c>
      <c r="AC87" s="0" t="n">
        <v>5.445868</v>
      </c>
      <c r="AD87" s="0" t="s">
        <v>12</v>
      </c>
      <c r="AE87" s="1" t="s">
        <v>5</v>
      </c>
      <c r="AF87" s="0" t="n">
        <v>37.000468</v>
      </c>
      <c r="AG87" s="0" t="s">
        <v>19</v>
      </c>
      <c r="AH87" s="1" t="s">
        <v>5</v>
      </c>
      <c r="AI87" s="0" t="n">
        <v>12.21507</v>
      </c>
      <c r="AJ87" s="0" t="s">
        <v>15</v>
      </c>
      <c r="AK87" s="1" t="s">
        <v>5</v>
      </c>
      <c r="AL87" s="0" t="s">
        <v>2</v>
      </c>
      <c r="AM87" s="0" t="s">
        <v>11</v>
      </c>
      <c r="AN87" s="0" t="s">
        <v>3</v>
      </c>
      <c r="AO87" s="0" t="n">
        <v>11.96289</v>
      </c>
      <c r="AP87" s="0" t="n">
        <v>0</v>
      </c>
      <c r="AQ87" s="0" t="n">
        <v>0</v>
      </c>
      <c r="AS87" s="2" t="str">
        <f aca="false">IF(AND(G87="true",J87="true",M87="true",P87="true",S87="true"),"true","false")</f>
        <v>false</v>
      </c>
      <c r="AT87" s="0" t="str">
        <f aca="false">IF(AND(Y87="true",AB87="true",AE87="true",AH87="true",AK87="true"),"true","false")</f>
        <v>true</v>
      </c>
    </row>
    <row r="88" customFormat="false" ht="12.8" hidden="false" customHeight="false" outlineLevel="0" collapsed="false">
      <c r="A88" s="0" t="s">
        <v>173</v>
      </c>
      <c r="B88" s="0" t="s">
        <v>1</v>
      </c>
      <c r="C88" s="0" t="s">
        <v>11</v>
      </c>
      <c r="D88" s="0" t="s">
        <v>3</v>
      </c>
      <c r="E88" s="0" t="n">
        <v>46.732985</v>
      </c>
      <c r="F88" s="0" t="s">
        <v>21</v>
      </c>
      <c r="G88" s="1" t="s">
        <v>5</v>
      </c>
      <c r="H88" s="0" t="n">
        <v>19.33795</v>
      </c>
      <c r="I88" s="0" t="s">
        <v>17</v>
      </c>
      <c r="J88" s="1" t="s">
        <v>5</v>
      </c>
      <c r="K88" s="0" t="n">
        <v>5.962346</v>
      </c>
      <c r="L88" s="0" t="s">
        <v>12</v>
      </c>
      <c r="M88" s="1" t="s">
        <v>5</v>
      </c>
      <c r="N88" s="0" t="n">
        <v>49.105894</v>
      </c>
      <c r="O88" s="0" t="s">
        <v>22</v>
      </c>
      <c r="P88" s="1" t="s">
        <v>6</v>
      </c>
      <c r="Q88" s="0" t="n">
        <v>25.711016</v>
      </c>
      <c r="R88" s="0" t="s">
        <v>15</v>
      </c>
      <c r="S88" s="1" t="s">
        <v>6</v>
      </c>
      <c r="T88" s="0" t="s">
        <v>10</v>
      </c>
      <c r="U88" s="0" t="s">
        <v>2</v>
      </c>
      <c r="V88" s="0" t="s">
        <v>3</v>
      </c>
      <c r="W88" s="0" t="n">
        <v>18.516741</v>
      </c>
      <c r="X88" s="0" t="s">
        <v>4</v>
      </c>
      <c r="Y88" s="1" t="s">
        <v>5</v>
      </c>
      <c r="Z88" s="0" t="n">
        <v>14.116422</v>
      </c>
      <c r="AA88" s="0" t="s">
        <v>4</v>
      </c>
      <c r="AB88" s="1" t="s">
        <v>6</v>
      </c>
      <c r="AC88" s="0" t="n">
        <v>8.938742</v>
      </c>
      <c r="AD88" s="0" t="s">
        <v>7</v>
      </c>
      <c r="AE88" s="1" t="s">
        <v>6</v>
      </c>
      <c r="AF88" s="0" t="n">
        <v>29.891285</v>
      </c>
      <c r="AG88" s="0" t="s">
        <v>8</v>
      </c>
      <c r="AH88" s="1" t="s">
        <v>5</v>
      </c>
      <c r="AI88" s="0" t="n">
        <v>41.815104</v>
      </c>
      <c r="AJ88" s="0" t="s">
        <v>9</v>
      </c>
      <c r="AK88" s="1" t="s">
        <v>5</v>
      </c>
      <c r="AL88" s="0" t="s">
        <v>11</v>
      </c>
      <c r="AM88" s="0" t="s">
        <v>2</v>
      </c>
      <c r="AN88" s="0" t="s">
        <v>3</v>
      </c>
      <c r="AO88" s="0" t="n">
        <v>23.98699</v>
      </c>
      <c r="AP88" s="0" t="n">
        <v>0</v>
      </c>
      <c r="AQ88" s="0" t="n">
        <v>2</v>
      </c>
      <c r="AR88" s="0" t="s">
        <v>174</v>
      </c>
      <c r="AS88" s="2" t="str">
        <f aca="false">IF(AND(G88="true",J88="true",M88="true",P88="true",S88="true"),"true","false")</f>
        <v>false</v>
      </c>
      <c r="AT88" s="0" t="str">
        <f aca="false">IF(AND(Y88="true",AB88="true",AE88="true",AH88="true",AK88="true"),"true","false")</f>
        <v>false</v>
      </c>
    </row>
    <row r="89" customFormat="false" ht="12.8" hidden="false" customHeight="false" outlineLevel="0" collapsed="false">
      <c r="A89" s="0" t="s">
        <v>175</v>
      </c>
      <c r="B89" s="0" t="s">
        <v>1</v>
      </c>
      <c r="C89" s="0" t="s">
        <v>11</v>
      </c>
      <c r="D89" s="0" t="s">
        <v>3</v>
      </c>
      <c r="E89" s="0" t="n">
        <v>20.8718</v>
      </c>
      <c r="F89" s="0" t="s">
        <v>12</v>
      </c>
      <c r="G89" s="1" t="s">
        <v>6</v>
      </c>
      <c r="H89" s="0" t="n">
        <v>15.165987</v>
      </c>
      <c r="I89" s="0" t="s">
        <v>17</v>
      </c>
      <c r="J89" s="1" t="s">
        <v>5</v>
      </c>
      <c r="K89" s="0" t="n">
        <v>9.214263</v>
      </c>
      <c r="L89" s="0" t="s">
        <v>12</v>
      </c>
      <c r="M89" s="1" t="s">
        <v>5</v>
      </c>
      <c r="N89" s="0" t="n">
        <v>44.119525</v>
      </c>
      <c r="O89" s="0" t="s">
        <v>22</v>
      </c>
      <c r="P89" s="1" t="s">
        <v>6</v>
      </c>
      <c r="Q89" s="0" t="n">
        <v>37.284</v>
      </c>
      <c r="R89" s="0" t="s">
        <v>51</v>
      </c>
      <c r="S89" s="1" t="s">
        <v>5</v>
      </c>
      <c r="T89" s="0" t="s">
        <v>10</v>
      </c>
      <c r="U89" s="0" t="s">
        <v>2</v>
      </c>
      <c r="V89" s="0" t="s">
        <v>3</v>
      </c>
      <c r="W89" s="0" t="n">
        <v>15.519484</v>
      </c>
      <c r="X89" s="0" t="s">
        <v>4</v>
      </c>
      <c r="Y89" s="1" t="s">
        <v>5</v>
      </c>
      <c r="Z89" s="0" t="n">
        <v>31.136701</v>
      </c>
      <c r="AA89" s="0" t="s">
        <v>7</v>
      </c>
      <c r="AB89" s="1" t="s">
        <v>5</v>
      </c>
      <c r="AC89" s="0" t="n">
        <v>10.217234</v>
      </c>
      <c r="AD89" s="0" t="s">
        <v>46</v>
      </c>
      <c r="AE89" s="1" t="s">
        <v>6</v>
      </c>
      <c r="AF89" s="0" t="n">
        <v>15.078234</v>
      </c>
      <c r="AG89" s="0" t="s">
        <v>8</v>
      </c>
      <c r="AH89" s="1" t="s">
        <v>5</v>
      </c>
      <c r="AI89" s="0" t="n">
        <v>12.859622</v>
      </c>
      <c r="AJ89" s="0" t="s">
        <v>51</v>
      </c>
      <c r="AK89" s="1" t="s">
        <v>6</v>
      </c>
      <c r="AL89" s="0" t="s">
        <v>11</v>
      </c>
      <c r="AM89" s="0" t="s">
        <v>2</v>
      </c>
      <c r="AN89" s="0" t="s">
        <v>3</v>
      </c>
      <c r="AO89" s="0" t="n">
        <v>25.263874</v>
      </c>
      <c r="AP89" s="0" t="n">
        <v>0</v>
      </c>
      <c r="AQ89" s="0" t="n">
        <v>1</v>
      </c>
      <c r="AS89" s="2" t="str">
        <f aca="false">IF(AND(G89="true",J89="true",M89="true",P89="true",S89="true"),"true","false")</f>
        <v>false</v>
      </c>
      <c r="AT89" s="0" t="str">
        <f aca="false">IF(AND(Y89="true",AB89="true",AE89="true",AH89="true",AK89="true"),"true","false")</f>
        <v>false</v>
      </c>
    </row>
    <row r="90" customFormat="false" ht="12.8" hidden="false" customHeight="false" outlineLevel="0" collapsed="false">
      <c r="A90" s="0" t="s">
        <v>176</v>
      </c>
      <c r="B90" s="0" t="s">
        <v>1</v>
      </c>
      <c r="C90" s="0" t="s">
        <v>2</v>
      </c>
      <c r="D90" s="0" t="s">
        <v>3</v>
      </c>
      <c r="E90" s="0" t="n">
        <v>87.409548</v>
      </c>
      <c r="F90" s="0" t="s">
        <v>4</v>
      </c>
      <c r="G90" s="1" t="s">
        <v>5</v>
      </c>
      <c r="H90" s="0" t="n">
        <v>14.419992</v>
      </c>
      <c r="I90" s="0" t="s">
        <v>7</v>
      </c>
      <c r="J90" s="1" t="s">
        <v>5</v>
      </c>
      <c r="K90" s="0" t="n">
        <v>8.441662</v>
      </c>
      <c r="L90" s="0" t="s">
        <v>4</v>
      </c>
      <c r="M90" s="1" t="s">
        <v>5</v>
      </c>
      <c r="N90" s="0" t="n">
        <v>43.065536</v>
      </c>
      <c r="O90" s="0" t="s">
        <v>8</v>
      </c>
      <c r="P90" s="1" t="s">
        <v>5</v>
      </c>
      <c r="Q90" s="0" t="n">
        <v>57.205063</v>
      </c>
      <c r="R90" s="0" t="s">
        <v>51</v>
      </c>
      <c r="S90" s="1" t="s">
        <v>5</v>
      </c>
      <c r="T90" s="0" t="s">
        <v>10</v>
      </c>
      <c r="U90" s="0" t="s">
        <v>11</v>
      </c>
      <c r="V90" s="0" t="s">
        <v>3</v>
      </c>
      <c r="W90" s="0" t="n">
        <v>29.181339</v>
      </c>
      <c r="X90" s="0" t="s">
        <v>21</v>
      </c>
      <c r="Y90" s="1" t="s">
        <v>5</v>
      </c>
      <c r="Z90" s="0" t="n">
        <v>19.04031</v>
      </c>
      <c r="AA90" s="0" t="s">
        <v>17</v>
      </c>
      <c r="AB90" s="1" t="s">
        <v>5</v>
      </c>
      <c r="AC90" s="0" t="n">
        <v>9.924778</v>
      </c>
      <c r="AD90" s="0" t="s">
        <v>12</v>
      </c>
      <c r="AE90" s="1" t="s">
        <v>5</v>
      </c>
      <c r="AF90" s="0" t="n">
        <v>40.276184</v>
      </c>
      <c r="AG90" s="0" t="s">
        <v>22</v>
      </c>
      <c r="AH90" s="1" t="s">
        <v>6</v>
      </c>
      <c r="AI90" s="0" t="n">
        <v>18.378241</v>
      </c>
      <c r="AJ90" s="0" t="s">
        <v>15</v>
      </c>
      <c r="AK90" s="1" t="s">
        <v>5</v>
      </c>
      <c r="AL90" s="0" t="s">
        <v>2</v>
      </c>
      <c r="AM90" s="0" t="s">
        <v>11</v>
      </c>
      <c r="AN90" s="0" t="s">
        <v>3</v>
      </c>
      <c r="AO90" s="0" t="n">
        <v>14.399285</v>
      </c>
      <c r="AP90" s="0" t="n">
        <v>0</v>
      </c>
      <c r="AQ90" s="0" t="n">
        <v>0</v>
      </c>
      <c r="AS90" s="2" t="str">
        <f aca="false">IF(AND(G90="true",J90="true",M90="true",P90="true",S90="true"),"true","false")</f>
        <v>true</v>
      </c>
      <c r="AT90" s="0" t="str">
        <f aca="false">IF(AND(Y90="true",AB90="true",AE90="true",AH90="true",AK90="true"),"true","false")</f>
        <v>false</v>
      </c>
    </row>
    <row r="91" customFormat="false" ht="12.8" hidden="false" customHeight="false" outlineLevel="0" collapsed="false">
      <c r="A91" s="0" t="s">
        <v>177</v>
      </c>
      <c r="B91" s="0" t="s">
        <v>1</v>
      </c>
      <c r="C91" s="0" t="s">
        <v>11</v>
      </c>
      <c r="D91" s="0" t="s">
        <v>3</v>
      </c>
      <c r="E91" s="0" t="n">
        <v>49.928148</v>
      </c>
      <c r="F91" s="0" t="s">
        <v>21</v>
      </c>
      <c r="G91" s="1" t="s">
        <v>5</v>
      </c>
      <c r="H91" s="0" t="n">
        <v>63.270182</v>
      </c>
      <c r="I91" s="0" t="s">
        <v>17</v>
      </c>
      <c r="J91" s="1" t="s">
        <v>5</v>
      </c>
      <c r="K91" s="0" t="n">
        <v>5.848509</v>
      </c>
      <c r="L91" s="0" t="s">
        <v>12</v>
      </c>
      <c r="M91" s="1" t="s">
        <v>5</v>
      </c>
      <c r="N91" s="0" t="n">
        <v>109.796054</v>
      </c>
      <c r="O91" s="0" t="s">
        <v>44</v>
      </c>
      <c r="P91" s="1" t="s">
        <v>6</v>
      </c>
      <c r="Q91" s="0" t="n">
        <v>47.953848</v>
      </c>
      <c r="R91" s="0" t="s">
        <v>15</v>
      </c>
      <c r="S91" s="1" t="s">
        <v>6</v>
      </c>
      <c r="T91" s="0" t="s">
        <v>10</v>
      </c>
      <c r="U91" s="0" t="s">
        <v>2</v>
      </c>
      <c r="V91" s="0" t="s">
        <v>3</v>
      </c>
      <c r="W91" s="0" t="n">
        <v>55.308161</v>
      </c>
      <c r="X91" s="0" t="s">
        <v>7</v>
      </c>
      <c r="Y91" s="1" t="s">
        <v>6</v>
      </c>
      <c r="Z91" s="0" t="n">
        <v>11.313675</v>
      </c>
      <c r="AA91" s="0" t="s">
        <v>82</v>
      </c>
      <c r="AB91" s="1" t="s">
        <v>6</v>
      </c>
      <c r="AC91" s="0" t="n">
        <v>10.547523</v>
      </c>
      <c r="AD91" s="0" t="s">
        <v>81</v>
      </c>
      <c r="AE91" s="1" t="s">
        <v>6</v>
      </c>
      <c r="AF91" s="0" t="n">
        <v>68.518232</v>
      </c>
      <c r="AG91" s="0" t="s">
        <v>34</v>
      </c>
      <c r="AH91" s="1" t="s">
        <v>6</v>
      </c>
      <c r="AI91" s="0" t="n">
        <v>23.229481</v>
      </c>
      <c r="AJ91" s="0" t="s">
        <v>9</v>
      </c>
      <c r="AK91" s="1" t="s">
        <v>5</v>
      </c>
      <c r="AL91" s="0" t="s">
        <v>11</v>
      </c>
      <c r="AM91" s="0" t="s">
        <v>2</v>
      </c>
      <c r="AN91" s="0" t="s">
        <v>3</v>
      </c>
      <c r="AO91" s="0" t="n">
        <v>29.036773</v>
      </c>
      <c r="AP91" s="0" t="n">
        <v>1</v>
      </c>
      <c r="AQ91" s="0" t="n">
        <v>-1</v>
      </c>
      <c r="AS91" s="2" t="str">
        <f aca="false">IF(AND(G91="true",J91="true",M91="true",P91="true",S91="true"),"true","false")</f>
        <v>false</v>
      </c>
      <c r="AT91" s="0" t="str">
        <f aca="false">IF(AND(Y91="true",AB91="true",AE91="true",AH91="true",AK91="true"),"true","false")</f>
        <v>false</v>
      </c>
    </row>
    <row r="92" customFormat="false" ht="35.05" hidden="false" customHeight="false" outlineLevel="0" collapsed="false">
      <c r="A92" s="0" t="s">
        <v>178</v>
      </c>
      <c r="B92" s="0" t="s">
        <v>1</v>
      </c>
      <c r="C92" s="0" t="s">
        <v>11</v>
      </c>
      <c r="D92" s="0" t="s">
        <v>3</v>
      </c>
      <c r="E92" s="0" t="n">
        <v>30.099397</v>
      </c>
      <c r="F92" s="0" t="s">
        <v>21</v>
      </c>
      <c r="G92" s="1" t="s">
        <v>5</v>
      </c>
      <c r="H92" s="0" t="n">
        <v>20.797172</v>
      </c>
      <c r="I92" s="0" t="s">
        <v>17</v>
      </c>
      <c r="J92" s="1" t="s">
        <v>5</v>
      </c>
      <c r="K92" s="0" t="n">
        <v>7.909913</v>
      </c>
      <c r="L92" s="0" t="s">
        <v>12</v>
      </c>
      <c r="M92" s="1" t="s">
        <v>5</v>
      </c>
      <c r="N92" s="0" t="n">
        <v>45.690063</v>
      </c>
      <c r="O92" s="0" t="s">
        <v>22</v>
      </c>
      <c r="P92" s="1" t="s">
        <v>6</v>
      </c>
      <c r="Q92" s="0" t="n">
        <v>24.043144</v>
      </c>
      <c r="R92" s="0" t="s">
        <v>15</v>
      </c>
      <c r="S92" s="1" t="s">
        <v>6</v>
      </c>
      <c r="T92" s="0" t="s">
        <v>10</v>
      </c>
      <c r="U92" s="0" t="s">
        <v>2</v>
      </c>
      <c r="V92" s="0" t="s">
        <v>3</v>
      </c>
      <c r="W92" s="0" t="n">
        <v>27.062478</v>
      </c>
      <c r="X92" s="0" t="s">
        <v>40</v>
      </c>
      <c r="Y92" s="1" t="s">
        <v>6</v>
      </c>
      <c r="Z92" s="0" t="n">
        <v>31.062584</v>
      </c>
      <c r="AA92" s="0" t="s">
        <v>7</v>
      </c>
      <c r="AB92" s="1" t="s">
        <v>5</v>
      </c>
      <c r="AC92" s="0" t="n">
        <v>9.233209</v>
      </c>
      <c r="AD92" s="0" t="s">
        <v>46</v>
      </c>
      <c r="AE92" s="1" t="s">
        <v>6</v>
      </c>
      <c r="AF92" s="0" t="n">
        <v>43.703865</v>
      </c>
      <c r="AG92" s="0" t="s">
        <v>8</v>
      </c>
      <c r="AH92" s="1" t="s">
        <v>5</v>
      </c>
      <c r="AI92" s="0" t="n">
        <v>64.994672</v>
      </c>
      <c r="AJ92" s="0" t="s">
        <v>51</v>
      </c>
      <c r="AK92" s="1" t="s">
        <v>6</v>
      </c>
      <c r="AL92" s="0" t="s">
        <v>11</v>
      </c>
      <c r="AM92" s="0" t="s">
        <v>2</v>
      </c>
      <c r="AN92" s="0" t="s">
        <v>3</v>
      </c>
      <c r="AO92" s="0" t="n">
        <v>183.079286</v>
      </c>
      <c r="AP92" s="0" t="n">
        <v>1</v>
      </c>
      <c r="AQ92" s="0" t="n">
        <v>1</v>
      </c>
      <c r="AR92" s="3" t="s">
        <v>179</v>
      </c>
      <c r="AS92" s="2" t="str">
        <f aca="false">IF(AND(G92="true",J92="true",M92="true",P92="true",S92="true"),"true","false")</f>
        <v>false</v>
      </c>
      <c r="AT92" s="0" t="str">
        <f aca="false">IF(AND(Y92="true",AB92="true",AE92="true",AH92="true",AK92="true"),"true","false")</f>
        <v>false</v>
      </c>
    </row>
    <row r="93" customFormat="false" ht="12.8" hidden="false" customHeight="false" outlineLevel="0" collapsed="false">
      <c r="A93" s="0" t="s">
        <v>180</v>
      </c>
      <c r="B93" s="0" t="s">
        <v>1</v>
      </c>
      <c r="C93" s="0" t="s">
        <v>11</v>
      </c>
      <c r="D93" s="0" t="s">
        <v>3</v>
      </c>
      <c r="E93" s="0" t="n">
        <v>26.32382</v>
      </c>
      <c r="F93" s="0" t="s">
        <v>21</v>
      </c>
      <c r="G93" s="1" t="s">
        <v>5</v>
      </c>
      <c r="H93" s="0" t="n">
        <v>17.894242</v>
      </c>
      <c r="I93" s="0" t="s">
        <v>17</v>
      </c>
      <c r="J93" s="1" t="s">
        <v>5</v>
      </c>
      <c r="K93" s="0" t="n">
        <v>10.038747</v>
      </c>
      <c r="L93" s="0" t="s">
        <v>12</v>
      </c>
      <c r="M93" s="1" t="s">
        <v>5</v>
      </c>
      <c r="N93" s="0" t="n">
        <v>33.689349</v>
      </c>
      <c r="O93" s="0" t="s">
        <v>90</v>
      </c>
      <c r="P93" s="1" t="s">
        <v>6</v>
      </c>
      <c r="Q93" s="0" t="n">
        <v>28.876255</v>
      </c>
      <c r="R93" s="0" t="s">
        <v>15</v>
      </c>
      <c r="S93" s="1" t="s">
        <v>6</v>
      </c>
      <c r="T93" s="0" t="s">
        <v>10</v>
      </c>
      <c r="U93" s="0" t="s">
        <v>2</v>
      </c>
      <c r="V93" s="0" t="s">
        <v>3</v>
      </c>
      <c r="W93" s="0" t="n">
        <v>122.362946</v>
      </c>
      <c r="Y93" s="1" t="s">
        <v>6</v>
      </c>
      <c r="Z93" s="0" t="n">
        <v>25.568157</v>
      </c>
      <c r="AA93" s="0" t="s">
        <v>81</v>
      </c>
      <c r="AB93" s="1" t="s">
        <v>6</v>
      </c>
      <c r="AC93" s="0" t="n">
        <v>17.602597</v>
      </c>
      <c r="AD93" s="0" t="s">
        <v>81</v>
      </c>
      <c r="AE93" s="1" t="s">
        <v>6</v>
      </c>
      <c r="AF93" s="0" t="n">
        <v>32.412026</v>
      </c>
      <c r="AG93" s="0" t="s">
        <v>181</v>
      </c>
      <c r="AH93" s="1" t="s">
        <v>6</v>
      </c>
      <c r="AI93" s="0" t="n">
        <v>9.603207</v>
      </c>
      <c r="AJ93" s="0" t="s">
        <v>9</v>
      </c>
      <c r="AK93" s="1" t="s">
        <v>5</v>
      </c>
      <c r="AL93" s="0" t="s">
        <v>11</v>
      </c>
      <c r="AM93" s="0" t="s">
        <v>2</v>
      </c>
      <c r="AN93" s="0" t="s">
        <v>3</v>
      </c>
      <c r="AO93" s="0" t="n">
        <v>22.146763</v>
      </c>
      <c r="AP93" s="0" t="n">
        <v>1</v>
      </c>
      <c r="AQ93" s="0" t="n">
        <v>-1</v>
      </c>
      <c r="AS93" s="2" t="str">
        <f aca="false">IF(AND(G93="true",J93="true",M93="true",P93="true",S93="true"),"true","false")</f>
        <v>false</v>
      </c>
      <c r="AT93" s="0" t="str">
        <f aca="false">IF(AND(Y93="true",AB93="true",AE93="true",AH93="true",AK93="true"),"true","false")</f>
        <v>false</v>
      </c>
    </row>
    <row r="94" customFormat="false" ht="12.8" hidden="false" customHeight="false" outlineLevel="0" collapsed="false">
      <c r="A94" s="0" t="s">
        <v>182</v>
      </c>
      <c r="B94" s="0" t="s">
        <v>1</v>
      </c>
      <c r="C94" s="0" t="s">
        <v>2</v>
      </c>
      <c r="D94" s="0" t="s">
        <v>3</v>
      </c>
      <c r="E94" s="0" t="n">
        <v>27.154561</v>
      </c>
      <c r="F94" s="0" t="s">
        <v>4</v>
      </c>
      <c r="G94" s="1" t="s">
        <v>5</v>
      </c>
      <c r="H94" s="0" t="n">
        <v>22.916252</v>
      </c>
      <c r="I94" s="0" t="s">
        <v>7</v>
      </c>
      <c r="J94" s="1" t="s">
        <v>5</v>
      </c>
      <c r="K94" s="0" t="n">
        <v>6.956577</v>
      </c>
      <c r="L94" s="0" t="s">
        <v>4</v>
      </c>
      <c r="M94" s="1" t="s">
        <v>5</v>
      </c>
      <c r="N94" s="0" t="n">
        <v>23.947143</v>
      </c>
      <c r="O94" s="0" t="s">
        <v>8</v>
      </c>
      <c r="P94" s="1" t="s">
        <v>5</v>
      </c>
      <c r="Q94" s="0" t="n">
        <v>46.52029</v>
      </c>
      <c r="R94" s="0" t="s">
        <v>9</v>
      </c>
      <c r="S94" s="1" t="s">
        <v>6</v>
      </c>
      <c r="T94" s="0" t="s">
        <v>10</v>
      </c>
      <c r="U94" s="0" t="s">
        <v>11</v>
      </c>
      <c r="V94" s="0" t="s">
        <v>3</v>
      </c>
      <c r="W94" s="0" t="n">
        <v>107.73349</v>
      </c>
      <c r="X94" s="0" t="s">
        <v>100</v>
      </c>
      <c r="Y94" s="1" t="s">
        <v>6</v>
      </c>
      <c r="Z94" s="0" t="n">
        <v>19.501887</v>
      </c>
      <c r="AA94" s="0" t="s">
        <v>100</v>
      </c>
      <c r="AB94" s="1" t="s">
        <v>6</v>
      </c>
      <c r="AC94" s="0" t="n">
        <v>9.291104</v>
      </c>
      <c r="AD94" s="0" t="s">
        <v>119</v>
      </c>
      <c r="AE94" s="1" t="s">
        <v>6</v>
      </c>
      <c r="AF94" s="0" t="n">
        <v>45.668973</v>
      </c>
      <c r="AG94" s="0" t="s">
        <v>19</v>
      </c>
      <c r="AH94" s="1" t="s">
        <v>5</v>
      </c>
      <c r="AI94" s="0" t="n">
        <v>68.915225</v>
      </c>
      <c r="AJ94" s="0" t="s">
        <v>15</v>
      </c>
      <c r="AK94" s="1" t="s">
        <v>5</v>
      </c>
      <c r="AL94" s="0" t="s">
        <v>2</v>
      </c>
      <c r="AM94" s="0" t="s">
        <v>11</v>
      </c>
      <c r="AN94" s="0" t="s">
        <v>3</v>
      </c>
      <c r="AO94" s="0" t="n">
        <v>30.294378</v>
      </c>
      <c r="AP94" s="0" t="n">
        <v>1</v>
      </c>
      <c r="AQ94" s="0" t="n">
        <v>0</v>
      </c>
      <c r="AS94" s="2" t="str">
        <f aca="false">IF(AND(G94="true",J94="true",M94="true",P94="true",S94="true"),"true","false")</f>
        <v>false</v>
      </c>
      <c r="AT94" s="0" t="str">
        <f aca="false">IF(AND(Y94="true",AB94="true",AE94="true",AH94="true",AK94="true"),"true","false")</f>
        <v>false</v>
      </c>
    </row>
    <row r="95" customFormat="false" ht="12.8" hidden="false" customHeight="false" outlineLevel="0" collapsed="false">
      <c r="A95" s="0" t="s">
        <v>183</v>
      </c>
      <c r="B95" s="0" t="s">
        <v>1</v>
      </c>
      <c r="C95" s="0" t="s">
        <v>2</v>
      </c>
      <c r="D95" s="0" t="s">
        <v>3</v>
      </c>
      <c r="E95" s="0" t="n">
        <v>30.732464</v>
      </c>
      <c r="F95" s="0" t="s">
        <v>4</v>
      </c>
      <c r="G95" s="1" t="s">
        <v>5</v>
      </c>
      <c r="H95" s="0" t="n">
        <v>36.375823</v>
      </c>
      <c r="I95" s="0" t="s">
        <v>7</v>
      </c>
      <c r="J95" s="1" t="s">
        <v>5</v>
      </c>
      <c r="K95" s="0" t="n">
        <v>6.985106</v>
      </c>
      <c r="L95" s="0" t="s">
        <v>4</v>
      </c>
      <c r="M95" s="1" t="s">
        <v>5</v>
      </c>
      <c r="N95" s="0" t="n">
        <v>45.541859</v>
      </c>
      <c r="O95" s="0" t="s">
        <v>8</v>
      </c>
      <c r="P95" s="1" t="s">
        <v>5</v>
      </c>
      <c r="Q95" s="0" t="n">
        <v>31.161958</v>
      </c>
      <c r="R95" s="0" t="s">
        <v>15</v>
      </c>
      <c r="S95" s="1" t="s">
        <v>6</v>
      </c>
      <c r="T95" s="0" t="s">
        <v>10</v>
      </c>
      <c r="U95" s="0" t="s">
        <v>11</v>
      </c>
      <c r="V95" s="0" t="s">
        <v>3</v>
      </c>
      <c r="W95" s="0" t="n">
        <v>59.310699</v>
      </c>
      <c r="X95" s="0" t="s">
        <v>21</v>
      </c>
      <c r="Y95" s="1" t="s">
        <v>5</v>
      </c>
      <c r="Z95" s="0" t="n">
        <v>73.494975</v>
      </c>
      <c r="AA95" s="0" t="s">
        <v>12</v>
      </c>
      <c r="AB95" s="1" t="s">
        <v>6</v>
      </c>
      <c r="AC95" s="0" t="n">
        <v>16.999968</v>
      </c>
      <c r="AD95" s="0" t="s">
        <v>12</v>
      </c>
      <c r="AE95" s="1" t="s">
        <v>5</v>
      </c>
      <c r="AF95" s="0" t="n">
        <v>36.204815</v>
      </c>
      <c r="AG95" s="0" t="s">
        <v>22</v>
      </c>
      <c r="AH95" s="1" t="s">
        <v>6</v>
      </c>
      <c r="AI95" s="0" t="n">
        <v>46.306899</v>
      </c>
      <c r="AJ95" s="0" t="s">
        <v>15</v>
      </c>
      <c r="AK95" s="1" t="s">
        <v>5</v>
      </c>
      <c r="AL95" s="0" t="s">
        <v>2</v>
      </c>
      <c r="AM95" s="0" t="s">
        <v>11</v>
      </c>
      <c r="AN95" s="0" t="s">
        <v>3</v>
      </c>
      <c r="AO95" s="0" t="n">
        <v>43.894852</v>
      </c>
      <c r="AP95" s="0" t="n">
        <v>1</v>
      </c>
      <c r="AQ95" s="0" t="n">
        <v>0</v>
      </c>
      <c r="AR95" s="0" t="s">
        <v>184</v>
      </c>
      <c r="AS95" s="2" t="str">
        <f aca="false">IF(AND(G95="true",J95="true",M95="true",P95="true",S95="true"),"true","false")</f>
        <v>false</v>
      </c>
      <c r="AT95" s="0" t="str">
        <f aca="false">IF(AND(Y95="true",AB95="true",AE95="true",AH95="true",AK95="true"),"true","false")</f>
        <v>false</v>
      </c>
    </row>
    <row r="96" customFormat="false" ht="12.8" hidden="false" customHeight="false" outlineLevel="0" collapsed="false">
      <c r="A96" s="0" t="s">
        <v>185</v>
      </c>
      <c r="B96" s="0" t="s">
        <v>1</v>
      </c>
      <c r="C96" s="0" t="s">
        <v>2</v>
      </c>
      <c r="D96" s="0" t="s">
        <v>3</v>
      </c>
      <c r="E96" s="0" t="n">
        <v>16.003732</v>
      </c>
      <c r="F96" s="0" t="s">
        <v>4</v>
      </c>
      <c r="G96" s="1" t="s">
        <v>5</v>
      </c>
      <c r="H96" s="0" t="n">
        <v>26.067403</v>
      </c>
      <c r="I96" s="0" t="s">
        <v>4</v>
      </c>
      <c r="J96" s="1" t="s">
        <v>6</v>
      </c>
      <c r="K96" s="0" t="n">
        <v>8.701461</v>
      </c>
      <c r="L96" s="0" t="s">
        <v>7</v>
      </c>
      <c r="M96" s="1" t="s">
        <v>6</v>
      </c>
      <c r="N96" s="0" t="n">
        <v>19.351763</v>
      </c>
      <c r="O96" s="0" t="s">
        <v>8</v>
      </c>
      <c r="P96" s="1" t="s">
        <v>5</v>
      </c>
      <c r="Q96" s="0" t="n">
        <v>55.116744</v>
      </c>
      <c r="R96" s="0" t="s">
        <v>15</v>
      </c>
      <c r="S96" s="1" t="s">
        <v>6</v>
      </c>
      <c r="T96" s="0" t="s">
        <v>10</v>
      </c>
      <c r="U96" s="0" t="s">
        <v>11</v>
      </c>
      <c r="V96" s="0" t="s">
        <v>3</v>
      </c>
      <c r="W96" s="0" t="n">
        <v>70.705317</v>
      </c>
      <c r="X96" s="0" t="s">
        <v>100</v>
      </c>
      <c r="Y96" s="1" t="s">
        <v>6</v>
      </c>
      <c r="Z96" s="0" t="n">
        <v>254.793336</v>
      </c>
      <c r="AA96" s="0" t="s">
        <v>17</v>
      </c>
      <c r="AB96" s="1" t="s">
        <v>5</v>
      </c>
      <c r="AC96" s="0" t="n">
        <v>13.831264</v>
      </c>
      <c r="AD96" s="0" t="s">
        <v>12</v>
      </c>
      <c r="AE96" s="1" t="s">
        <v>5</v>
      </c>
      <c r="AF96" s="0" t="n">
        <v>32.072424</v>
      </c>
      <c r="AG96" s="0" t="s">
        <v>22</v>
      </c>
      <c r="AH96" s="1" t="s">
        <v>6</v>
      </c>
      <c r="AI96" s="0" t="n">
        <v>15.794176</v>
      </c>
      <c r="AJ96" s="0" t="s">
        <v>15</v>
      </c>
      <c r="AK96" s="1" t="s">
        <v>5</v>
      </c>
      <c r="AL96" s="0" t="s">
        <v>2</v>
      </c>
      <c r="AM96" s="0" t="s">
        <v>11</v>
      </c>
      <c r="AN96" s="0" t="s">
        <v>3</v>
      </c>
      <c r="AO96" s="0" t="n">
        <v>35.499363</v>
      </c>
      <c r="AP96" s="0" t="n">
        <v>1</v>
      </c>
      <c r="AQ96" s="0" t="n">
        <v>-1</v>
      </c>
      <c r="AS96" s="2" t="str">
        <f aca="false">IF(AND(G96="true",J96="true",M96="true",P96="true",S96="true"),"true","false")</f>
        <v>false</v>
      </c>
      <c r="AT96" s="0" t="str">
        <f aca="false">IF(AND(Y96="true",AB96="true",AE96="true",AH96="true",AK96="true"),"true","false")</f>
        <v>false</v>
      </c>
    </row>
    <row r="97" customFormat="false" ht="12.8" hidden="false" customHeight="false" outlineLevel="0" collapsed="false">
      <c r="A97" s="0" t="s">
        <v>186</v>
      </c>
      <c r="B97" s="0" t="s">
        <v>1</v>
      </c>
      <c r="C97" s="0" t="s">
        <v>11</v>
      </c>
      <c r="D97" s="0" t="s">
        <v>3</v>
      </c>
      <c r="E97" s="0" t="n">
        <v>16.015115</v>
      </c>
      <c r="F97" s="0" t="s">
        <v>12</v>
      </c>
      <c r="G97" s="1" t="s">
        <v>6</v>
      </c>
      <c r="H97" s="0" t="n">
        <v>13.277629</v>
      </c>
      <c r="I97" s="0" t="s">
        <v>21</v>
      </c>
      <c r="J97" s="1" t="s">
        <v>6</v>
      </c>
      <c r="K97" s="0" t="n">
        <v>10.970788</v>
      </c>
      <c r="L97" s="0" t="s">
        <v>12</v>
      </c>
      <c r="M97" s="1" t="s">
        <v>5</v>
      </c>
      <c r="N97" s="0" t="n">
        <v>29.571434</v>
      </c>
      <c r="O97" s="0" t="s">
        <v>22</v>
      </c>
      <c r="P97" s="1" t="s">
        <v>6</v>
      </c>
      <c r="Q97" s="0" t="n">
        <v>70.403569</v>
      </c>
      <c r="R97" s="0" t="s">
        <v>15</v>
      </c>
      <c r="S97" s="1" t="s">
        <v>6</v>
      </c>
      <c r="T97" s="0" t="s">
        <v>10</v>
      </c>
      <c r="U97" s="0" t="s">
        <v>2</v>
      </c>
      <c r="V97" s="0" t="s">
        <v>3</v>
      </c>
      <c r="W97" s="0" t="n">
        <v>59.93821</v>
      </c>
      <c r="X97" s="0" t="s">
        <v>4</v>
      </c>
      <c r="Y97" s="1" t="s">
        <v>5</v>
      </c>
      <c r="Z97" s="0" t="n">
        <v>27.122263</v>
      </c>
      <c r="AA97" s="0" t="s">
        <v>4</v>
      </c>
      <c r="AB97" s="1" t="s">
        <v>6</v>
      </c>
      <c r="AC97" s="0" t="n">
        <v>4.872004</v>
      </c>
      <c r="AD97" s="0" t="s">
        <v>7</v>
      </c>
      <c r="AE97" s="1" t="s">
        <v>6</v>
      </c>
      <c r="AF97" s="0" t="n">
        <v>18.223569</v>
      </c>
      <c r="AG97" s="0" t="s">
        <v>8</v>
      </c>
      <c r="AH97" s="1" t="s">
        <v>5</v>
      </c>
      <c r="AI97" s="0" t="n">
        <v>13.193963</v>
      </c>
      <c r="AJ97" s="0" t="s">
        <v>15</v>
      </c>
      <c r="AK97" s="1" t="s">
        <v>6</v>
      </c>
      <c r="AL97" s="0" t="s">
        <v>11</v>
      </c>
      <c r="AM97" s="0" t="s">
        <v>2</v>
      </c>
      <c r="AN97" s="0" t="s">
        <v>3</v>
      </c>
      <c r="AO97" s="0" t="n">
        <v>46.223157</v>
      </c>
      <c r="AP97" s="0" t="n">
        <v>0</v>
      </c>
      <c r="AQ97" s="0" t="n">
        <v>-1</v>
      </c>
      <c r="AS97" s="2" t="str">
        <f aca="false">IF(AND(G97="true",J97="true",M97="true",P97="true",S97="true"),"true","false")</f>
        <v>false</v>
      </c>
      <c r="AT97" s="0" t="str">
        <f aca="false">IF(AND(Y97="true",AB97="true",AE97="true",AH97="true",AK97="true"),"true","false")</f>
        <v>false</v>
      </c>
    </row>
    <row r="98" customFormat="false" ht="12.8" hidden="false" customHeight="false" outlineLevel="0" collapsed="false">
      <c r="A98" s="0" t="s">
        <v>187</v>
      </c>
      <c r="B98" s="0" t="s">
        <v>1</v>
      </c>
      <c r="C98" s="0" t="s">
        <v>2</v>
      </c>
      <c r="D98" s="0" t="s">
        <v>3</v>
      </c>
      <c r="E98" s="0" t="n">
        <v>70.78545</v>
      </c>
      <c r="F98" s="0" t="s">
        <v>4</v>
      </c>
      <c r="G98" s="1" t="s">
        <v>5</v>
      </c>
      <c r="H98" s="0" t="n">
        <v>26.661169</v>
      </c>
      <c r="I98" s="0" t="s">
        <v>46</v>
      </c>
      <c r="J98" s="1" t="s">
        <v>6</v>
      </c>
      <c r="K98" s="0" t="n">
        <v>46.539627</v>
      </c>
      <c r="L98" s="0" t="s">
        <v>82</v>
      </c>
      <c r="M98" s="1" t="s">
        <v>6</v>
      </c>
      <c r="N98" s="0" t="n">
        <v>33.700901</v>
      </c>
      <c r="O98" s="0" t="s">
        <v>47</v>
      </c>
      <c r="P98" s="1" t="s">
        <v>6</v>
      </c>
      <c r="Q98" s="0" t="n">
        <v>18.624192</v>
      </c>
      <c r="R98" s="0" t="s">
        <v>15</v>
      </c>
      <c r="S98" s="1" t="s">
        <v>6</v>
      </c>
      <c r="T98" s="0" t="s">
        <v>10</v>
      </c>
      <c r="U98" s="0" t="s">
        <v>11</v>
      </c>
      <c r="V98" s="0" t="s">
        <v>3</v>
      </c>
      <c r="W98" s="0" t="n">
        <v>93.860179</v>
      </c>
      <c r="X98" s="0" t="s">
        <v>21</v>
      </c>
      <c r="Y98" s="1" t="s">
        <v>5</v>
      </c>
      <c r="Z98" s="0" t="n">
        <v>56.704366</v>
      </c>
      <c r="AA98" s="0" t="s">
        <v>21</v>
      </c>
      <c r="AB98" s="1" t="s">
        <v>6</v>
      </c>
      <c r="AC98" s="0" t="n">
        <v>19.881863</v>
      </c>
      <c r="AD98" s="0" t="s">
        <v>56</v>
      </c>
      <c r="AE98" s="1" t="s">
        <v>6</v>
      </c>
      <c r="AF98" s="0" t="n">
        <v>62.759833</v>
      </c>
      <c r="AG98" s="0" t="s">
        <v>65</v>
      </c>
      <c r="AH98" s="1" t="s">
        <v>6</v>
      </c>
      <c r="AI98" s="0" t="n">
        <v>25.807508</v>
      </c>
      <c r="AJ98" s="0" t="s">
        <v>15</v>
      </c>
      <c r="AK98" s="1" t="s">
        <v>5</v>
      </c>
      <c r="AL98" s="0" t="s">
        <v>2</v>
      </c>
      <c r="AM98" s="0" t="s">
        <v>11</v>
      </c>
      <c r="AN98" s="0" t="s">
        <v>3</v>
      </c>
      <c r="AO98" s="0" t="n">
        <v>19.896589</v>
      </c>
      <c r="AP98" s="0" t="n">
        <v>-1</v>
      </c>
      <c r="AQ98" s="0" t="n">
        <v>-1</v>
      </c>
      <c r="AS98" s="2" t="str">
        <f aca="false">IF(AND(G98="true",J98="true",M98="true",P98="true",S98="true"),"true","false")</f>
        <v>false</v>
      </c>
      <c r="AT98" s="0" t="str">
        <f aca="false">IF(AND(Y98="true",AB98="true",AE98="true",AH98="true",AK98="true"),"true","false")</f>
        <v>false</v>
      </c>
    </row>
    <row r="99" customFormat="false" ht="12.8" hidden="false" customHeight="false" outlineLevel="0" collapsed="false">
      <c r="A99" s="0" t="s">
        <v>188</v>
      </c>
      <c r="B99" s="0" t="s">
        <v>1</v>
      </c>
      <c r="C99" s="0" t="s">
        <v>11</v>
      </c>
      <c r="D99" s="0" t="s">
        <v>3</v>
      </c>
      <c r="E99" s="0" t="n">
        <v>31.927544</v>
      </c>
      <c r="F99" s="0" t="s">
        <v>21</v>
      </c>
      <c r="G99" s="1" t="s">
        <v>5</v>
      </c>
      <c r="H99" s="0" t="n">
        <v>15.423254</v>
      </c>
      <c r="I99" s="0" t="s">
        <v>17</v>
      </c>
      <c r="J99" s="1" t="s">
        <v>5</v>
      </c>
      <c r="K99" s="0" t="n">
        <v>7.18108</v>
      </c>
      <c r="L99" s="0" t="s">
        <v>12</v>
      </c>
      <c r="M99" s="1" t="s">
        <v>5</v>
      </c>
      <c r="N99" s="0" t="n">
        <v>104.244379</v>
      </c>
      <c r="O99" s="0" t="s">
        <v>22</v>
      </c>
      <c r="P99" s="1" t="s">
        <v>6</v>
      </c>
      <c r="Q99" s="0" t="n">
        <v>27.639526</v>
      </c>
      <c r="R99" s="0" t="s">
        <v>15</v>
      </c>
      <c r="S99" s="1" t="s">
        <v>6</v>
      </c>
      <c r="T99" s="0" t="s">
        <v>10</v>
      </c>
      <c r="U99" s="0" t="s">
        <v>2</v>
      </c>
      <c r="V99" s="0" t="s">
        <v>3</v>
      </c>
      <c r="W99" s="0" t="n">
        <v>32.097563</v>
      </c>
      <c r="X99" s="0" t="s">
        <v>4</v>
      </c>
      <c r="Y99" s="1" t="s">
        <v>5</v>
      </c>
      <c r="Z99" s="0" t="n">
        <v>20.833031</v>
      </c>
      <c r="AA99" s="0" t="s">
        <v>7</v>
      </c>
      <c r="AB99" s="1" t="s">
        <v>5</v>
      </c>
      <c r="AC99" s="0" t="n">
        <v>10.206039</v>
      </c>
      <c r="AD99" s="0" t="s">
        <v>4</v>
      </c>
      <c r="AE99" s="1" t="s">
        <v>5</v>
      </c>
      <c r="AF99" s="0" t="n">
        <v>25.796938</v>
      </c>
      <c r="AG99" s="0" t="s">
        <v>8</v>
      </c>
      <c r="AH99" s="1" t="s">
        <v>5</v>
      </c>
      <c r="AI99" s="0" t="n">
        <v>33.651256</v>
      </c>
      <c r="AJ99" s="0" t="s">
        <v>9</v>
      </c>
      <c r="AK99" s="1" t="s">
        <v>5</v>
      </c>
      <c r="AL99" s="0" t="s">
        <v>11</v>
      </c>
      <c r="AM99" s="0" t="s">
        <v>2</v>
      </c>
      <c r="AN99" s="0" t="s">
        <v>3</v>
      </c>
      <c r="AO99" s="0" t="n">
        <v>24.638244</v>
      </c>
      <c r="AP99" s="0" t="n">
        <v>1</v>
      </c>
      <c r="AQ99" s="0" t="n">
        <v>1</v>
      </c>
      <c r="AS99" s="2" t="str">
        <f aca="false">IF(AND(G99="true",J99="true",M99="true",P99="true",S99="true"),"true","false")</f>
        <v>false</v>
      </c>
      <c r="AT99" s="0" t="str">
        <f aca="false">IF(AND(Y99="true",AB99="true",AE99="true",AH99="true",AK99="true"),"true","false")</f>
        <v>true</v>
      </c>
    </row>
    <row r="100" customFormat="false" ht="23.85" hidden="false" customHeight="false" outlineLevel="0" collapsed="false">
      <c r="A100" s="0" t="s">
        <v>189</v>
      </c>
      <c r="B100" s="0" t="s">
        <v>1</v>
      </c>
      <c r="C100" s="0" t="s">
        <v>2</v>
      </c>
      <c r="D100" s="0" t="s">
        <v>3</v>
      </c>
      <c r="E100" s="0" t="n">
        <v>54.878654</v>
      </c>
      <c r="F100" s="0" t="s">
        <v>4</v>
      </c>
      <c r="G100" s="1" t="s">
        <v>5</v>
      </c>
      <c r="H100" s="0" t="n">
        <v>9.991247</v>
      </c>
      <c r="I100" s="0" t="s">
        <v>7</v>
      </c>
      <c r="J100" s="1" t="s">
        <v>5</v>
      </c>
      <c r="K100" s="0" t="n">
        <v>7.966868</v>
      </c>
      <c r="L100" s="0" t="s">
        <v>4</v>
      </c>
      <c r="M100" s="1" t="s">
        <v>5</v>
      </c>
      <c r="N100" s="0" t="n">
        <v>21.84108</v>
      </c>
      <c r="O100" s="0" t="s">
        <v>8</v>
      </c>
      <c r="P100" s="1" t="s">
        <v>5</v>
      </c>
      <c r="Q100" s="0" t="n">
        <v>65.163134</v>
      </c>
      <c r="R100" s="0" t="s">
        <v>15</v>
      </c>
      <c r="S100" s="1" t="s">
        <v>6</v>
      </c>
      <c r="T100" s="0" t="s">
        <v>10</v>
      </c>
      <c r="U100" s="0" t="s">
        <v>11</v>
      </c>
      <c r="V100" s="0" t="s">
        <v>3</v>
      </c>
      <c r="W100" s="0" t="n">
        <v>27.645818</v>
      </c>
      <c r="X100" s="0" t="s">
        <v>21</v>
      </c>
      <c r="Y100" s="1" t="s">
        <v>5</v>
      </c>
      <c r="Z100" s="0" t="n">
        <v>9.192348</v>
      </c>
      <c r="AA100" s="0" t="s">
        <v>17</v>
      </c>
      <c r="AB100" s="1" t="s">
        <v>5</v>
      </c>
      <c r="AC100" s="0" t="n">
        <v>7.402925</v>
      </c>
      <c r="AD100" s="0" t="s">
        <v>12</v>
      </c>
      <c r="AE100" s="1" t="s">
        <v>5</v>
      </c>
      <c r="AF100" s="0" t="n">
        <v>30.359423</v>
      </c>
      <c r="AG100" s="0" t="s">
        <v>97</v>
      </c>
      <c r="AH100" s="1" t="s">
        <v>6</v>
      </c>
      <c r="AI100" s="0" t="n">
        <v>12.923983</v>
      </c>
      <c r="AJ100" s="0" t="s">
        <v>15</v>
      </c>
      <c r="AK100" s="1" t="s">
        <v>5</v>
      </c>
      <c r="AL100" s="0" t="s">
        <v>2</v>
      </c>
      <c r="AM100" s="0" t="s">
        <v>11</v>
      </c>
      <c r="AN100" s="0" t="s">
        <v>3</v>
      </c>
      <c r="AO100" s="0" t="n">
        <v>54.62553</v>
      </c>
      <c r="AP100" s="0" t="n">
        <v>1</v>
      </c>
      <c r="AQ100" s="0" t="n">
        <v>2</v>
      </c>
      <c r="AR100" s="3" t="s">
        <v>190</v>
      </c>
      <c r="AS100" s="2" t="str">
        <f aca="false">IF(AND(G100="true",J100="true",M100="true",P100="true",S100="true"),"true","false")</f>
        <v>false</v>
      </c>
      <c r="AT100" s="0" t="str">
        <f aca="false">IF(AND(Y100="true",AB100="true",AE100="true",AH100="true",AK100="true"),"true","false")</f>
        <v>false</v>
      </c>
    </row>
    <row r="101" customFormat="false" ht="12.8" hidden="false" customHeight="false" outlineLevel="0" collapsed="false">
      <c r="A101" s="0" t="s">
        <v>191</v>
      </c>
      <c r="B101" s="0" t="s">
        <v>1</v>
      </c>
      <c r="C101" s="0" t="s">
        <v>2</v>
      </c>
      <c r="D101" s="0" t="s">
        <v>3</v>
      </c>
      <c r="E101" s="0" t="n">
        <v>24.267647</v>
      </c>
      <c r="F101" s="0" t="s">
        <v>4</v>
      </c>
      <c r="G101" s="1" t="s">
        <v>5</v>
      </c>
      <c r="H101" s="0" t="n">
        <v>20.422008</v>
      </c>
      <c r="I101" s="0" t="s">
        <v>4</v>
      </c>
      <c r="J101" s="1" t="s">
        <v>6</v>
      </c>
      <c r="K101" s="0" t="n">
        <v>8.636911</v>
      </c>
      <c r="L101" s="0" t="s">
        <v>7</v>
      </c>
      <c r="M101" s="1" t="s">
        <v>6</v>
      </c>
      <c r="N101" s="0" t="n">
        <v>17.712967</v>
      </c>
      <c r="O101" s="0" t="s">
        <v>8</v>
      </c>
      <c r="P101" s="1" t="s">
        <v>5</v>
      </c>
      <c r="Q101" s="0" t="n">
        <v>19.764587</v>
      </c>
      <c r="R101" s="0" t="s">
        <v>15</v>
      </c>
      <c r="S101" s="1" t="s">
        <v>6</v>
      </c>
      <c r="T101" s="0" t="s">
        <v>10</v>
      </c>
      <c r="U101" s="0" t="s">
        <v>11</v>
      </c>
      <c r="V101" s="0" t="s">
        <v>3</v>
      </c>
      <c r="W101" s="0" t="n">
        <v>11.68515</v>
      </c>
      <c r="X101" s="0" t="s">
        <v>21</v>
      </c>
      <c r="Y101" s="1" t="s">
        <v>5</v>
      </c>
      <c r="Z101" s="0" t="n">
        <v>19.497288</v>
      </c>
      <c r="AA101" s="0" t="s">
        <v>17</v>
      </c>
      <c r="AB101" s="1" t="s">
        <v>5</v>
      </c>
      <c r="AC101" s="0" t="n">
        <v>4.929966</v>
      </c>
      <c r="AD101" s="0" t="s">
        <v>12</v>
      </c>
      <c r="AE101" s="1" t="s">
        <v>5</v>
      </c>
      <c r="AF101" s="0" t="n">
        <v>23.91987</v>
      </c>
      <c r="AG101" s="0" t="s">
        <v>22</v>
      </c>
      <c r="AH101" s="1" t="s">
        <v>6</v>
      </c>
      <c r="AI101" s="0" t="n">
        <v>6.126659</v>
      </c>
      <c r="AJ101" s="0" t="s">
        <v>15</v>
      </c>
      <c r="AK101" s="1" t="s">
        <v>5</v>
      </c>
      <c r="AL101" s="0" t="s">
        <v>2</v>
      </c>
      <c r="AM101" s="0" t="s">
        <v>11</v>
      </c>
      <c r="AN101" s="0" t="s">
        <v>3</v>
      </c>
      <c r="AO101" s="0" t="n">
        <v>67.376463</v>
      </c>
      <c r="AP101" s="0" t="n">
        <v>2</v>
      </c>
      <c r="AQ101" s="0" t="n">
        <v>-1</v>
      </c>
      <c r="AR101" s="0" t="s">
        <v>192</v>
      </c>
      <c r="AS101" s="2" t="str">
        <f aca="false">IF(AND(G101="true",J101="true",M101="true",P101="true",S101="true"),"true","false")</f>
        <v>false</v>
      </c>
      <c r="AT101" s="0" t="str">
        <f aca="false">IF(AND(Y101="true",AB101="true",AE101="true",AH101="true",AK101="true"),"true","false")</f>
        <v>false</v>
      </c>
    </row>
    <row r="102" customFormat="false" ht="12.8" hidden="false" customHeight="false" outlineLevel="0" collapsed="false">
      <c r="A102" s="0" t="s">
        <v>193</v>
      </c>
      <c r="B102" s="0" t="s">
        <v>1</v>
      </c>
      <c r="C102" s="0" t="s">
        <v>2</v>
      </c>
      <c r="D102" s="0" t="s">
        <v>3</v>
      </c>
      <c r="E102" s="0" t="n">
        <v>14.412593</v>
      </c>
      <c r="F102" s="0" t="s">
        <v>7</v>
      </c>
      <c r="G102" s="1" t="s">
        <v>6</v>
      </c>
      <c r="H102" s="0" t="n">
        <v>13.219512</v>
      </c>
      <c r="I102" s="0" t="s">
        <v>7</v>
      </c>
      <c r="J102" s="1" t="s">
        <v>5</v>
      </c>
      <c r="K102" s="0" t="n">
        <v>11.548841</v>
      </c>
      <c r="L102" s="0" t="s">
        <v>4</v>
      </c>
      <c r="M102" s="1" t="s">
        <v>5</v>
      </c>
      <c r="N102" s="0" t="n">
        <v>19.096238</v>
      </c>
      <c r="O102" s="0" t="s">
        <v>8</v>
      </c>
      <c r="P102" s="1" t="s">
        <v>5</v>
      </c>
      <c r="Q102" s="0" t="n">
        <v>20.231011</v>
      </c>
      <c r="R102" s="0" t="s">
        <v>15</v>
      </c>
      <c r="S102" s="1" t="s">
        <v>6</v>
      </c>
      <c r="T102" s="0" t="s">
        <v>10</v>
      </c>
      <c r="U102" s="0" t="s">
        <v>11</v>
      </c>
      <c r="V102" s="0" t="s">
        <v>3</v>
      </c>
      <c r="W102" s="0" t="n">
        <v>37.443875</v>
      </c>
      <c r="X102" s="0" t="s">
        <v>194</v>
      </c>
      <c r="Y102" s="1" t="s">
        <v>6</v>
      </c>
      <c r="Z102" s="0" t="n">
        <v>21.37513</v>
      </c>
      <c r="AA102" s="0" t="s">
        <v>100</v>
      </c>
      <c r="AB102" s="1" t="s">
        <v>6</v>
      </c>
      <c r="AC102" s="0" t="n">
        <v>28.862449</v>
      </c>
      <c r="AD102" s="0" t="s">
        <v>100</v>
      </c>
      <c r="AE102" s="1" t="s">
        <v>6</v>
      </c>
      <c r="AF102" s="0" t="n">
        <v>40.406556</v>
      </c>
      <c r="AG102" s="0" t="s">
        <v>22</v>
      </c>
      <c r="AH102" s="1" t="s">
        <v>6</v>
      </c>
      <c r="AI102" s="0" t="n">
        <v>9.114094</v>
      </c>
      <c r="AJ102" s="0" t="s">
        <v>15</v>
      </c>
      <c r="AK102" s="1" t="s">
        <v>5</v>
      </c>
      <c r="AL102" s="0" t="s">
        <v>2</v>
      </c>
      <c r="AM102" s="0" t="s">
        <v>11</v>
      </c>
      <c r="AN102" s="0" t="s">
        <v>3</v>
      </c>
      <c r="AO102" s="0" t="n">
        <v>8.824896</v>
      </c>
      <c r="AP102" s="0" t="n">
        <v>2</v>
      </c>
      <c r="AQ102" s="0" t="n">
        <v>-2</v>
      </c>
      <c r="AS102" s="2" t="str">
        <f aca="false">IF(AND(G102="true",J102="true",M102="true",P102="true",S102="true"),"true","false")</f>
        <v>false</v>
      </c>
      <c r="AT102" s="0" t="str">
        <f aca="false">IF(AND(Y102="true",AB102="true",AE102="true",AH102="true",AK102="true"),"true","false")</f>
        <v>false</v>
      </c>
    </row>
    <row r="103" customFormat="false" ht="12.8" hidden="false" customHeight="false" outlineLevel="0" collapsed="false">
      <c r="A103" s="0" t="s">
        <v>195</v>
      </c>
      <c r="B103" s="0" t="s">
        <v>1</v>
      </c>
      <c r="C103" s="0" t="s">
        <v>2</v>
      </c>
      <c r="D103" s="0" t="s">
        <v>3</v>
      </c>
      <c r="E103" s="0" t="n">
        <v>15.160997</v>
      </c>
      <c r="F103" s="0" t="s">
        <v>4</v>
      </c>
      <c r="G103" s="1" t="s">
        <v>5</v>
      </c>
      <c r="H103" s="0" t="n">
        <v>11.029287</v>
      </c>
      <c r="I103" s="0" t="s">
        <v>7</v>
      </c>
      <c r="J103" s="1" t="s">
        <v>5</v>
      </c>
      <c r="K103" s="0" t="n">
        <v>7.593561</v>
      </c>
      <c r="L103" s="0" t="s">
        <v>4</v>
      </c>
      <c r="M103" s="1" t="s">
        <v>5</v>
      </c>
      <c r="N103" s="0" t="n">
        <v>21.204377</v>
      </c>
      <c r="O103" s="0" t="s">
        <v>8</v>
      </c>
      <c r="P103" s="1" t="s">
        <v>5</v>
      </c>
      <c r="Q103" s="0" t="n">
        <v>38.42764</v>
      </c>
      <c r="R103" s="0" t="s">
        <v>9</v>
      </c>
      <c r="S103" s="1" t="s">
        <v>6</v>
      </c>
      <c r="T103" s="0" t="s">
        <v>10</v>
      </c>
      <c r="U103" s="0" t="s">
        <v>11</v>
      </c>
      <c r="V103" s="0" t="s">
        <v>3</v>
      </c>
      <c r="W103" s="0" t="n">
        <v>16.638401</v>
      </c>
      <c r="X103" s="0" t="s">
        <v>21</v>
      </c>
      <c r="Y103" s="1" t="s">
        <v>5</v>
      </c>
      <c r="Z103" s="0" t="n">
        <v>6.821707</v>
      </c>
      <c r="AA103" s="0" t="s">
        <v>12</v>
      </c>
      <c r="AB103" s="1" t="s">
        <v>6</v>
      </c>
      <c r="AC103" s="0" t="n">
        <v>4.863801</v>
      </c>
      <c r="AD103" s="0" t="s">
        <v>17</v>
      </c>
      <c r="AE103" s="1" t="s">
        <v>6</v>
      </c>
      <c r="AF103" s="0" t="n">
        <v>35.689523</v>
      </c>
      <c r="AG103" s="0" t="s">
        <v>22</v>
      </c>
      <c r="AH103" s="1" t="s">
        <v>6</v>
      </c>
      <c r="AI103" s="0" t="n">
        <v>7.025567</v>
      </c>
      <c r="AJ103" s="0" t="s">
        <v>15</v>
      </c>
      <c r="AK103" s="1" t="s">
        <v>5</v>
      </c>
      <c r="AL103" s="0" t="s">
        <v>2</v>
      </c>
      <c r="AM103" s="0" t="s">
        <v>11</v>
      </c>
      <c r="AN103" s="0" t="s">
        <v>3</v>
      </c>
      <c r="AO103" s="0" t="n">
        <v>12.058722</v>
      </c>
      <c r="AP103" s="0" t="n">
        <v>0</v>
      </c>
      <c r="AQ103" s="0" t="n">
        <v>2</v>
      </c>
      <c r="AS103" s="2" t="str">
        <f aca="false">IF(AND(G103="true",J103="true",M103="true",P103="true",S103="true"),"true","false")</f>
        <v>false</v>
      </c>
      <c r="AT103" s="0" t="str">
        <f aca="false">IF(AND(Y103="true",AB103="true",AE103="true",AH103="true",AK103="true"),"true","false")</f>
        <v>false</v>
      </c>
    </row>
    <row r="104" customFormat="false" ht="12.8" hidden="false" customHeight="false" outlineLevel="0" collapsed="false">
      <c r="A104" s="0" t="s">
        <v>196</v>
      </c>
      <c r="B104" s="0" t="s">
        <v>1</v>
      </c>
      <c r="C104" s="0" t="s">
        <v>2</v>
      </c>
      <c r="D104" s="0" t="s">
        <v>3</v>
      </c>
      <c r="E104" s="0" t="n">
        <v>36.729736</v>
      </c>
      <c r="F104" s="0" t="s">
        <v>4</v>
      </c>
      <c r="G104" s="1" t="s">
        <v>5</v>
      </c>
      <c r="H104" s="0" t="n">
        <v>8.093514</v>
      </c>
      <c r="I104" s="0" t="s">
        <v>7</v>
      </c>
      <c r="J104" s="1" t="s">
        <v>5</v>
      </c>
      <c r="K104" s="0" t="n">
        <v>6.85498</v>
      </c>
      <c r="L104" s="0" t="s">
        <v>4</v>
      </c>
      <c r="M104" s="1" t="s">
        <v>5</v>
      </c>
      <c r="N104" s="0" t="n">
        <v>22.912932</v>
      </c>
      <c r="O104" s="0" t="s">
        <v>8</v>
      </c>
      <c r="P104" s="1" t="s">
        <v>5</v>
      </c>
      <c r="Q104" s="0" t="n">
        <v>19.211392</v>
      </c>
      <c r="R104" s="0" t="s">
        <v>9</v>
      </c>
      <c r="S104" s="1" t="s">
        <v>6</v>
      </c>
      <c r="T104" s="0" t="s">
        <v>10</v>
      </c>
      <c r="U104" s="0" t="s">
        <v>11</v>
      </c>
      <c r="V104" s="0" t="s">
        <v>3</v>
      </c>
      <c r="W104" s="0" t="n">
        <v>54.7594</v>
      </c>
      <c r="X104" s="0" t="s">
        <v>35</v>
      </c>
      <c r="Y104" s="1" t="s">
        <v>6</v>
      </c>
      <c r="Z104" s="0" t="n">
        <v>11.596424</v>
      </c>
      <c r="AA104" s="0" t="s">
        <v>17</v>
      </c>
      <c r="AB104" s="1" t="s">
        <v>5</v>
      </c>
      <c r="AC104" s="0" t="n">
        <v>25.265358</v>
      </c>
      <c r="AD104" s="0" t="s">
        <v>17</v>
      </c>
      <c r="AE104" s="1" t="s">
        <v>6</v>
      </c>
      <c r="AF104" s="0" t="n">
        <v>15.975412</v>
      </c>
      <c r="AG104" s="0" t="s">
        <v>70</v>
      </c>
      <c r="AH104" s="1" t="s">
        <v>6</v>
      </c>
      <c r="AI104" s="0" t="n">
        <v>17.53507</v>
      </c>
      <c r="AJ104" s="0" t="s">
        <v>15</v>
      </c>
      <c r="AK104" s="1" t="s">
        <v>5</v>
      </c>
      <c r="AL104" s="0" t="s">
        <v>2</v>
      </c>
      <c r="AM104" s="0" t="s">
        <v>11</v>
      </c>
      <c r="AN104" s="0" t="s">
        <v>3</v>
      </c>
      <c r="AO104" s="0" t="n">
        <v>37.400001</v>
      </c>
      <c r="AP104" s="0" t="n">
        <v>1</v>
      </c>
      <c r="AQ104" s="0" t="n">
        <v>2</v>
      </c>
      <c r="AR104" s="0" t="s">
        <v>197</v>
      </c>
      <c r="AS104" s="2" t="str">
        <f aca="false">IF(AND(G104="true",J104="true",M104="true",P104="true",S104="true"),"true","false")</f>
        <v>false</v>
      </c>
      <c r="AT104" s="0" t="str">
        <f aca="false">IF(AND(Y104="true",AB104="true",AE104="true",AH104="true",AK104="true"),"true","false")</f>
        <v>false</v>
      </c>
    </row>
    <row r="105" customFormat="false" ht="12.8" hidden="false" customHeight="false" outlineLevel="0" collapsed="false">
      <c r="A105" s="0" t="s">
        <v>198</v>
      </c>
      <c r="B105" s="0" t="s">
        <v>1</v>
      </c>
      <c r="C105" s="0" t="s">
        <v>2</v>
      </c>
      <c r="D105" s="0" t="s">
        <v>3</v>
      </c>
      <c r="E105" s="0" t="n">
        <v>32.370463</v>
      </c>
      <c r="F105" s="0" t="s">
        <v>4</v>
      </c>
      <c r="G105" s="1" t="s">
        <v>5</v>
      </c>
      <c r="H105" s="0" t="n">
        <v>11.958322</v>
      </c>
      <c r="I105" s="0" t="s">
        <v>7</v>
      </c>
      <c r="J105" s="1" t="s">
        <v>5</v>
      </c>
      <c r="K105" s="0" t="n">
        <v>21.81211</v>
      </c>
      <c r="L105" s="0" t="s">
        <v>4</v>
      </c>
      <c r="M105" s="1" t="s">
        <v>5</v>
      </c>
      <c r="N105" s="0" t="n">
        <v>23.649351</v>
      </c>
      <c r="O105" s="0" t="s">
        <v>47</v>
      </c>
      <c r="P105" s="1" t="s">
        <v>6</v>
      </c>
      <c r="Q105" s="0" t="n">
        <v>27.109053</v>
      </c>
      <c r="R105" s="0" t="s">
        <v>9</v>
      </c>
      <c r="S105" s="1" t="s">
        <v>6</v>
      </c>
      <c r="T105" s="0" t="s">
        <v>10</v>
      </c>
      <c r="U105" s="0" t="s">
        <v>11</v>
      </c>
      <c r="V105" s="0" t="s">
        <v>3</v>
      </c>
      <c r="W105" s="0" t="n">
        <v>18.011189</v>
      </c>
      <c r="X105" s="0" t="s">
        <v>21</v>
      </c>
      <c r="Y105" s="1" t="s">
        <v>5</v>
      </c>
      <c r="Z105" s="0" t="n">
        <v>17.832039</v>
      </c>
      <c r="AA105" s="0" t="s">
        <v>12</v>
      </c>
      <c r="AB105" s="1" t="s">
        <v>6</v>
      </c>
      <c r="AC105" s="0" t="n">
        <v>14.874946</v>
      </c>
      <c r="AD105" s="0" t="s">
        <v>17</v>
      </c>
      <c r="AE105" s="1" t="s">
        <v>6</v>
      </c>
      <c r="AF105" s="0" t="n">
        <v>39.928526</v>
      </c>
      <c r="AG105" s="0" t="s">
        <v>22</v>
      </c>
      <c r="AH105" s="1" t="s">
        <v>6</v>
      </c>
      <c r="AI105" s="0" t="n">
        <v>7.980854</v>
      </c>
      <c r="AJ105" s="0" t="s">
        <v>15</v>
      </c>
      <c r="AK105" s="1" t="s">
        <v>5</v>
      </c>
      <c r="AL105" s="0" t="s">
        <v>2</v>
      </c>
      <c r="AM105" s="0" t="s">
        <v>11</v>
      </c>
      <c r="AN105" s="0" t="s">
        <v>3</v>
      </c>
      <c r="AO105" s="0" t="n">
        <v>23.180574</v>
      </c>
      <c r="AP105" s="0" t="n">
        <v>0</v>
      </c>
      <c r="AQ105" s="0" t="n">
        <v>-1</v>
      </c>
      <c r="AS105" s="2" t="str">
        <f aca="false">IF(AND(G105="true",J105="true",M105="true",P105="true",S105="true"),"true","false")</f>
        <v>false</v>
      </c>
      <c r="AT105" s="0" t="str">
        <f aca="false">IF(AND(Y105="true",AB105="true",AE105="true",AH105="true",AK105="true"),"true","false")</f>
        <v>false</v>
      </c>
    </row>
    <row r="106" customFormat="false" ht="12.8" hidden="false" customHeight="false" outlineLevel="0" collapsed="false">
      <c r="A106" s="0" t="s">
        <v>199</v>
      </c>
      <c r="B106" s="0" t="s">
        <v>1</v>
      </c>
      <c r="C106" s="0" t="s">
        <v>11</v>
      </c>
      <c r="D106" s="0" t="s">
        <v>3</v>
      </c>
      <c r="E106" s="0" t="n">
        <v>46.643844</v>
      </c>
      <c r="F106" s="0" t="s">
        <v>21</v>
      </c>
      <c r="G106" s="1" t="s">
        <v>5</v>
      </c>
      <c r="H106" s="0" t="n">
        <v>27.959578</v>
      </c>
      <c r="I106" s="0" t="s">
        <v>17</v>
      </c>
      <c r="J106" s="1" t="s">
        <v>5</v>
      </c>
      <c r="K106" s="0" t="n">
        <v>12.093511</v>
      </c>
      <c r="L106" s="0" t="s">
        <v>12</v>
      </c>
      <c r="M106" s="1" t="s">
        <v>5</v>
      </c>
      <c r="N106" s="0" t="n">
        <v>38.00818</v>
      </c>
      <c r="O106" s="0" t="s">
        <v>22</v>
      </c>
      <c r="P106" s="1" t="s">
        <v>6</v>
      </c>
      <c r="Q106" s="0" t="n">
        <v>14.113174</v>
      </c>
      <c r="R106" s="0" t="s">
        <v>15</v>
      </c>
      <c r="S106" s="1" t="s">
        <v>6</v>
      </c>
      <c r="T106" s="0" t="s">
        <v>10</v>
      </c>
      <c r="U106" s="0" t="s">
        <v>2</v>
      </c>
      <c r="V106" s="0" t="s">
        <v>3</v>
      </c>
      <c r="W106" s="0" t="n">
        <v>39.746538</v>
      </c>
      <c r="X106" s="0" t="s">
        <v>40</v>
      </c>
      <c r="Y106" s="1" t="s">
        <v>6</v>
      </c>
      <c r="Z106" s="0" t="n">
        <v>39.656967</v>
      </c>
      <c r="AA106" s="0" t="s">
        <v>81</v>
      </c>
      <c r="AB106" s="1" t="s">
        <v>6</v>
      </c>
      <c r="AC106" s="0" t="n">
        <v>23.032232</v>
      </c>
      <c r="AD106" s="0" t="s">
        <v>82</v>
      </c>
      <c r="AE106" s="1" t="s">
        <v>6</v>
      </c>
      <c r="AF106" s="0" t="n">
        <v>30.807991</v>
      </c>
      <c r="AG106" s="0" t="s">
        <v>8</v>
      </c>
      <c r="AH106" s="1" t="s">
        <v>5</v>
      </c>
      <c r="AI106" s="0" t="n">
        <v>16.107968</v>
      </c>
      <c r="AJ106" s="0" t="s">
        <v>15</v>
      </c>
      <c r="AK106" s="1" t="s">
        <v>6</v>
      </c>
      <c r="AL106" s="0" t="s">
        <v>11</v>
      </c>
      <c r="AM106" s="0" t="s">
        <v>2</v>
      </c>
      <c r="AN106" s="0" t="s">
        <v>3</v>
      </c>
      <c r="AO106" s="0" t="n">
        <v>34.751504</v>
      </c>
      <c r="AP106" s="0" t="n">
        <v>1</v>
      </c>
      <c r="AQ106" s="0" t="n">
        <v>-1</v>
      </c>
      <c r="AS106" s="2" t="str">
        <f aca="false">IF(AND(G106="true",J106="true",M106="true",P106="true",S106="true"),"true","false")</f>
        <v>false</v>
      </c>
      <c r="AT106" s="0" t="str">
        <f aca="false">IF(AND(Y106="true",AB106="true",AE106="true",AH106="true",AK106="true"),"true","false")</f>
        <v>false</v>
      </c>
    </row>
    <row r="107" customFormat="false" ht="12.8" hidden="false" customHeight="false" outlineLevel="0" collapsed="false">
      <c r="A107" s="0" t="s">
        <v>200</v>
      </c>
      <c r="B107" s="0" t="s">
        <v>1</v>
      </c>
      <c r="C107" s="0" t="s">
        <v>2</v>
      </c>
      <c r="D107" s="0" t="s">
        <v>3</v>
      </c>
      <c r="E107" s="0" t="n">
        <v>16.025367</v>
      </c>
      <c r="F107" s="0" t="s">
        <v>4</v>
      </c>
      <c r="G107" s="1" t="s">
        <v>5</v>
      </c>
      <c r="H107" s="0" t="n">
        <v>12.324189</v>
      </c>
      <c r="I107" s="0" t="s">
        <v>7</v>
      </c>
      <c r="J107" s="1" t="s">
        <v>5</v>
      </c>
      <c r="K107" s="0" t="n">
        <v>10.993139</v>
      </c>
      <c r="L107" s="0" t="s">
        <v>4</v>
      </c>
      <c r="M107" s="1" t="s">
        <v>5</v>
      </c>
      <c r="N107" s="0" t="n">
        <v>20.84102</v>
      </c>
      <c r="O107" s="0" t="s">
        <v>8</v>
      </c>
      <c r="P107" s="1" t="s">
        <v>5</v>
      </c>
      <c r="Q107" s="0" t="n">
        <v>36.642901</v>
      </c>
      <c r="R107" s="0" t="s">
        <v>15</v>
      </c>
      <c r="S107" s="1" t="s">
        <v>6</v>
      </c>
      <c r="T107" s="0" t="s">
        <v>10</v>
      </c>
      <c r="U107" s="0" t="s">
        <v>11</v>
      </c>
      <c r="V107" s="0" t="s">
        <v>3</v>
      </c>
      <c r="W107" s="0" t="n">
        <v>43.572452</v>
      </c>
      <c r="X107" s="0" t="s">
        <v>21</v>
      </c>
      <c r="Y107" s="1" t="s">
        <v>5</v>
      </c>
      <c r="Z107" s="0" t="n">
        <v>15.09211</v>
      </c>
      <c r="AA107" s="0" t="s">
        <v>17</v>
      </c>
      <c r="AB107" s="1" t="s">
        <v>5</v>
      </c>
      <c r="AC107" s="0" t="n">
        <v>21.747288</v>
      </c>
      <c r="AD107" s="0" t="s">
        <v>12</v>
      </c>
      <c r="AE107" s="1" t="s">
        <v>5</v>
      </c>
      <c r="AF107" s="0" t="n">
        <v>46.15398</v>
      </c>
      <c r="AG107" s="0" t="s">
        <v>22</v>
      </c>
      <c r="AH107" s="1" t="s">
        <v>6</v>
      </c>
      <c r="AI107" s="0" t="n">
        <v>26.060284</v>
      </c>
      <c r="AJ107" s="0" t="s">
        <v>15</v>
      </c>
      <c r="AK107" s="1" t="s">
        <v>5</v>
      </c>
      <c r="AL107" s="0" t="s">
        <v>2</v>
      </c>
      <c r="AM107" s="0" t="s">
        <v>11</v>
      </c>
      <c r="AN107" s="0" t="s">
        <v>3</v>
      </c>
      <c r="AO107" s="0" t="n">
        <v>77.316814</v>
      </c>
      <c r="AP107" s="0" t="n">
        <v>2</v>
      </c>
      <c r="AQ107" s="0" t="n">
        <v>1</v>
      </c>
      <c r="AR107" s="0" t="s">
        <v>201</v>
      </c>
      <c r="AS107" s="2" t="str">
        <f aca="false">IF(AND(G107="true",J107="true",M107="true",P107="true",S107="true"),"true","false")</f>
        <v>false</v>
      </c>
      <c r="AT107" s="0" t="str">
        <f aca="false">IF(AND(Y107="true",AB107="true",AE107="true",AH107="true",AK107="true"),"true","false")</f>
        <v>false</v>
      </c>
    </row>
    <row r="108" customFormat="false" ht="12.8" hidden="false" customHeight="false" outlineLevel="0" collapsed="false">
      <c r="A108" s="0" t="s">
        <v>202</v>
      </c>
      <c r="B108" s="0" t="s">
        <v>1</v>
      </c>
      <c r="C108" s="0" t="s">
        <v>11</v>
      </c>
      <c r="D108" s="0" t="s">
        <v>3</v>
      </c>
      <c r="E108" s="0" t="n">
        <v>30.38378</v>
      </c>
      <c r="F108" s="0" t="s">
        <v>17</v>
      </c>
      <c r="G108" s="1" t="s">
        <v>6</v>
      </c>
      <c r="H108" s="0" t="n">
        <v>13.782958</v>
      </c>
      <c r="I108" s="0" t="s">
        <v>12</v>
      </c>
      <c r="J108" s="1" t="s">
        <v>6</v>
      </c>
      <c r="K108" s="0" t="n">
        <v>15.014847</v>
      </c>
      <c r="L108" s="0" t="s">
        <v>119</v>
      </c>
      <c r="M108" s="1" t="s">
        <v>6</v>
      </c>
      <c r="N108" s="0" t="n">
        <v>48.350502</v>
      </c>
      <c r="O108" s="0" t="s">
        <v>19</v>
      </c>
      <c r="P108" s="1" t="s">
        <v>5</v>
      </c>
      <c r="Q108" s="0" t="n">
        <v>51.597901</v>
      </c>
      <c r="R108" s="0" t="s">
        <v>51</v>
      </c>
      <c r="S108" s="1" t="s">
        <v>5</v>
      </c>
      <c r="T108" s="0" t="s">
        <v>10</v>
      </c>
      <c r="U108" s="0" t="s">
        <v>2</v>
      </c>
      <c r="V108" s="0" t="s">
        <v>3</v>
      </c>
      <c r="W108" s="0" t="n">
        <v>39.814749</v>
      </c>
      <c r="Y108" s="1" t="s">
        <v>6</v>
      </c>
      <c r="Z108" s="0" t="n">
        <v>1.514621</v>
      </c>
      <c r="AB108" s="1" t="s">
        <v>6</v>
      </c>
      <c r="AC108" s="0" t="n">
        <v>1.671059</v>
      </c>
      <c r="AE108" s="1" t="s">
        <v>6</v>
      </c>
      <c r="AF108" s="0" t="n">
        <v>1.763207</v>
      </c>
      <c r="AH108" s="1" t="s">
        <v>6</v>
      </c>
      <c r="AI108" s="0" t="n">
        <v>1.11044</v>
      </c>
      <c r="AK108" s="1" t="s">
        <v>6</v>
      </c>
      <c r="AL108" s="0" t="s">
        <v>11</v>
      </c>
      <c r="AM108" s="0" t="s">
        <v>2</v>
      </c>
      <c r="AN108" s="0" t="s">
        <v>3</v>
      </c>
      <c r="AO108" s="0" t="n">
        <v>21.038251</v>
      </c>
      <c r="AP108" s="0" t="n">
        <v>1</v>
      </c>
      <c r="AQ108" s="0" t="n">
        <v>0</v>
      </c>
      <c r="AS108" s="2" t="str">
        <f aca="false">IF(AND(G108="true",J108="true",M108="true",P108="true",S108="true"),"true","false")</f>
        <v>false</v>
      </c>
      <c r="AT108" s="0" t="str">
        <f aca="false">IF(AND(Y108="true",AB108="true",AE108="true",AH108="true",AK108="true"),"true","false")</f>
        <v>false</v>
      </c>
    </row>
    <row r="109" customFormat="false" ht="12.8" hidden="false" customHeight="false" outlineLevel="0" collapsed="false">
      <c r="A109" s="0" t="s">
        <v>203</v>
      </c>
      <c r="B109" s="0" t="s">
        <v>1</v>
      </c>
      <c r="C109" s="0" t="s">
        <v>11</v>
      </c>
      <c r="D109" s="0" t="s">
        <v>3</v>
      </c>
      <c r="E109" s="0" t="n">
        <v>35.723097</v>
      </c>
      <c r="F109" s="0" t="s">
        <v>21</v>
      </c>
      <c r="G109" s="1" t="s">
        <v>5</v>
      </c>
      <c r="H109" s="0" t="n">
        <v>13.37888</v>
      </c>
      <c r="I109" s="0" t="s">
        <v>17</v>
      </c>
      <c r="J109" s="1" t="s">
        <v>5</v>
      </c>
      <c r="K109" s="0" t="n">
        <v>12.966416</v>
      </c>
      <c r="L109" s="0" t="s">
        <v>12</v>
      </c>
      <c r="M109" s="1" t="s">
        <v>5</v>
      </c>
      <c r="N109" s="0" t="n">
        <v>35.955038</v>
      </c>
      <c r="O109" s="0" t="s">
        <v>19</v>
      </c>
      <c r="P109" s="1" t="s">
        <v>5</v>
      </c>
      <c r="Q109" s="0" t="n">
        <v>46.412592</v>
      </c>
      <c r="R109" s="0" t="s">
        <v>9</v>
      </c>
      <c r="S109" s="1" t="s">
        <v>6</v>
      </c>
      <c r="T109" s="0" t="s">
        <v>10</v>
      </c>
      <c r="U109" s="0" t="s">
        <v>2</v>
      </c>
      <c r="V109" s="0" t="s">
        <v>3</v>
      </c>
      <c r="W109" s="0" t="n">
        <v>24.804297</v>
      </c>
      <c r="X109" s="0" t="s">
        <v>4</v>
      </c>
      <c r="Y109" s="1" t="s">
        <v>5</v>
      </c>
      <c r="Z109" s="0" t="n">
        <v>15.202541</v>
      </c>
      <c r="AA109" s="0" t="s">
        <v>7</v>
      </c>
      <c r="AB109" s="1" t="s">
        <v>5</v>
      </c>
      <c r="AC109" s="0" t="n">
        <v>10.238634</v>
      </c>
      <c r="AD109" s="0" t="s">
        <v>4</v>
      </c>
      <c r="AE109" s="1" t="s">
        <v>5</v>
      </c>
      <c r="AF109" s="0" t="n">
        <v>17.685326</v>
      </c>
      <c r="AG109" s="0" t="s">
        <v>8</v>
      </c>
      <c r="AH109" s="1" t="s">
        <v>5</v>
      </c>
      <c r="AI109" s="0" t="n">
        <v>28.650732</v>
      </c>
      <c r="AJ109" s="0" t="s">
        <v>9</v>
      </c>
      <c r="AK109" s="1" t="s">
        <v>5</v>
      </c>
      <c r="AL109" s="0" t="s">
        <v>11</v>
      </c>
      <c r="AM109" s="0" t="s">
        <v>2</v>
      </c>
      <c r="AN109" s="0" t="s">
        <v>3</v>
      </c>
      <c r="AO109" s="0" t="n">
        <v>10.302544</v>
      </c>
      <c r="AP109" s="0" t="n">
        <v>1</v>
      </c>
      <c r="AQ109" s="0" t="n">
        <v>1</v>
      </c>
      <c r="AS109" s="2" t="str">
        <f aca="false">IF(AND(G109="true",J109="true",M109="true",P109="true",S109="true"),"true","false")</f>
        <v>false</v>
      </c>
      <c r="AT109" s="0" t="str">
        <f aca="false">IF(AND(Y109="true",AB109="true",AE109="true",AH109="true",AK109="true"),"true","false")</f>
        <v>true</v>
      </c>
    </row>
    <row r="110" customFormat="false" ht="12.8" hidden="false" customHeight="false" outlineLevel="0" collapsed="false">
      <c r="A110" s="0" t="s">
        <v>204</v>
      </c>
      <c r="B110" s="0" t="s">
        <v>1</v>
      </c>
      <c r="C110" s="0" t="s">
        <v>2</v>
      </c>
      <c r="D110" s="0" t="s">
        <v>3</v>
      </c>
      <c r="E110" s="0" t="n">
        <v>21.421023</v>
      </c>
      <c r="F110" s="0" t="s">
        <v>4</v>
      </c>
      <c r="G110" s="1" t="s">
        <v>5</v>
      </c>
      <c r="H110" s="0" t="n">
        <v>13.669681</v>
      </c>
      <c r="I110" s="0" t="s">
        <v>7</v>
      </c>
      <c r="J110" s="1" t="s">
        <v>5</v>
      </c>
      <c r="K110" s="0" t="n">
        <v>13.855504</v>
      </c>
      <c r="L110" s="0" t="s">
        <v>4</v>
      </c>
      <c r="M110" s="1" t="s">
        <v>5</v>
      </c>
      <c r="N110" s="0" t="n">
        <v>15.880102</v>
      </c>
      <c r="O110" s="0" t="s">
        <v>8</v>
      </c>
      <c r="P110" s="1" t="s">
        <v>5</v>
      </c>
      <c r="Q110" s="0" t="n">
        <v>22.351864</v>
      </c>
      <c r="R110" s="0" t="s">
        <v>15</v>
      </c>
      <c r="S110" s="1" t="s">
        <v>6</v>
      </c>
      <c r="T110" s="0" t="s">
        <v>10</v>
      </c>
      <c r="U110" s="0" t="s">
        <v>11</v>
      </c>
      <c r="V110" s="0" t="s">
        <v>3</v>
      </c>
      <c r="W110" s="0" t="n">
        <v>25.029073</v>
      </c>
      <c r="X110" s="0" t="s">
        <v>35</v>
      </c>
      <c r="Y110" s="1" t="s">
        <v>6</v>
      </c>
      <c r="Z110" s="0" t="n">
        <v>12.109455</v>
      </c>
      <c r="AA110" s="0" t="s">
        <v>12</v>
      </c>
      <c r="AB110" s="1" t="s">
        <v>6</v>
      </c>
      <c r="AC110" s="0" t="n">
        <v>7.71403</v>
      </c>
      <c r="AD110" s="0" t="s">
        <v>17</v>
      </c>
      <c r="AE110" s="1" t="s">
        <v>6</v>
      </c>
      <c r="AF110" s="0" t="n">
        <v>48.547779</v>
      </c>
      <c r="AG110" s="0" t="s">
        <v>205</v>
      </c>
      <c r="AH110" s="1" t="s">
        <v>6</v>
      </c>
      <c r="AI110" s="0" t="n">
        <v>7.312631</v>
      </c>
      <c r="AJ110" s="0" t="s">
        <v>15</v>
      </c>
      <c r="AK110" s="1" t="s">
        <v>5</v>
      </c>
      <c r="AL110" s="0" t="s">
        <v>2</v>
      </c>
      <c r="AM110" s="0" t="s">
        <v>11</v>
      </c>
      <c r="AN110" s="0" t="s">
        <v>3</v>
      </c>
      <c r="AO110" s="0" t="n">
        <v>15.627545</v>
      </c>
      <c r="AP110" s="0" t="n">
        <v>1</v>
      </c>
      <c r="AQ110" s="0" t="n">
        <v>0</v>
      </c>
      <c r="AS110" s="2" t="str">
        <f aca="false">IF(AND(G110="true",J110="true",M110="true",P110="true",S110="true"),"true","false")</f>
        <v>false</v>
      </c>
      <c r="AT110" s="0" t="str">
        <f aca="false">IF(AND(Y110="true",AB110="true",AE110="true",AH110="true",AK110="true"),"true","false")</f>
        <v>false</v>
      </c>
    </row>
    <row r="111" customFormat="false" ht="12.8" hidden="false" customHeight="false" outlineLevel="0" collapsed="false">
      <c r="A111" s="0" t="s">
        <v>206</v>
      </c>
      <c r="B111" s="0" t="s">
        <v>1</v>
      </c>
      <c r="C111" s="0" t="s">
        <v>2</v>
      </c>
      <c r="D111" s="0" t="s">
        <v>3</v>
      </c>
      <c r="E111" s="0" t="n">
        <v>43.628182</v>
      </c>
      <c r="F111" s="0" t="s">
        <v>7</v>
      </c>
      <c r="G111" s="1" t="s">
        <v>6</v>
      </c>
      <c r="H111" s="0" t="n">
        <v>7.333956</v>
      </c>
      <c r="I111" s="0" t="s">
        <v>7</v>
      </c>
      <c r="J111" s="1" t="s">
        <v>5</v>
      </c>
      <c r="K111" s="0" t="n">
        <v>4.213084</v>
      </c>
      <c r="L111" s="0" t="s">
        <v>7</v>
      </c>
      <c r="M111" s="1" t="s">
        <v>6</v>
      </c>
      <c r="N111" s="0" t="n">
        <v>18.012673</v>
      </c>
      <c r="O111" s="0" t="s">
        <v>8</v>
      </c>
      <c r="P111" s="1" t="s">
        <v>5</v>
      </c>
      <c r="Q111" s="0" t="n">
        <v>9.748371</v>
      </c>
      <c r="R111" s="0" t="s">
        <v>9</v>
      </c>
      <c r="S111" s="1" t="s">
        <v>6</v>
      </c>
      <c r="T111" s="0" t="s">
        <v>10</v>
      </c>
      <c r="U111" s="0" t="s">
        <v>11</v>
      </c>
      <c r="V111" s="0" t="s">
        <v>3</v>
      </c>
      <c r="W111" s="0" t="n">
        <v>65.238314</v>
      </c>
      <c r="X111" s="0" t="s">
        <v>21</v>
      </c>
      <c r="Y111" s="1" t="s">
        <v>5</v>
      </c>
      <c r="Z111" s="0" t="n">
        <v>8.819328</v>
      </c>
      <c r="AA111" s="0" t="s">
        <v>12</v>
      </c>
      <c r="AB111" s="1" t="s">
        <v>6</v>
      </c>
      <c r="AC111" s="0" t="n">
        <v>7.566318</v>
      </c>
      <c r="AD111" s="0" t="s">
        <v>17</v>
      </c>
      <c r="AE111" s="1" t="s">
        <v>6</v>
      </c>
      <c r="AF111" s="0" t="n">
        <v>46.513297</v>
      </c>
      <c r="AG111" s="0" t="s">
        <v>207</v>
      </c>
      <c r="AH111" s="1" t="s">
        <v>6</v>
      </c>
      <c r="AI111" s="0" t="n">
        <v>10.465368</v>
      </c>
      <c r="AJ111" s="0" t="s">
        <v>15</v>
      </c>
      <c r="AK111" s="1" t="s">
        <v>5</v>
      </c>
      <c r="AL111" s="0" t="s">
        <v>2</v>
      </c>
      <c r="AM111" s="0" t="s">
        <v>11</v>
      </c>
      <c r="AN111" s="0" t="s">
        <v>3</v>
      </c>
      <c r="AO111" s="0" t="n">
        <v>42.951666</v>
      </c>
      <c r="AP111" s="0" t="n">
        <v>1</v>
      </c>
      <c r="AQ111" s="0" t="n">
        <v>-1</v>
      </c>
      <c r="AR111" s="0" t="s">
        <v>208</v>
      </c>
      <c r="AS111" s="2" t="str">
        <f aca="false">IF(AND(G111="true",J111="true",M111="true",P111="true",S111="true"),"true","false")</f>
        <v>false</v>
      </c>
      <c r="AT111" s="0" t="str">
        <f aca="false">IF(AND(Y111="true",AB111="true",AE111="true",AH111="true",AK111="true"),"true","false")</f>
        <v>false</v>
      </c>
    </row>
    <row r="112" customFormat="false" ht="12.8" hidden="false" customHeight="false" outlineLevel="0" collapsed="false">
      <c r="A112" s="0" t="s">
        <v>209</v>
      </c>
      <c r="B112" s="0" t="s">
        <v>1</v>
      </c>
      <c r="C112" s="0" t="s">
        <v>11</v>
      </c>
      <c r="D112" s="0" t="s">
        <v>3</v>
      </c>
      <c r="E112" s="0" t="n">
        <v>14.458364</v>
      </c>
      <c r="F112" s="0" t="s">
        <v>12</v>
      </c>
      <c r="G112" s="1" t="s">
        <v>6</v>
      </c>
      <c r="H112" s="0" t="n">
        <v>17.270836</v>
      </c>
      <c r="I112" s="0" t="s">
        <v>17</v>
      </c>
      <c r="J112" s="1" t="s">
        <v>5</v>
      </c>
      <c r="K112" s="0" t="n">
        <v>10.62622</v>
      </c>
      <c r="L112" s="0" t="s">
        <v>12</v>
      </c>
      <c r="M112" s="1" t="s">
        <v>5</v>
      </c>
      <c r="N112" s="0" t="n">
        <v>36.32239</v>
      </c>
      <c r="O112" s="0" t="s">
        <v>22</v>
      </c>
      <c r="P112" s="1" t="s">
        <v>6</v>
      </c>
      <c r="Q112" s="0" t="n">
        <v>16.762181</v>
      </c>
      <c r="R112" s="0" t="s">
        <v>15</v>
      </c>
      <c r="S112" s="1" t="s">
        <v>6</v>
      </c>
      <c r="T112" s="0" t="s">
        <v>10</v>
      </c>
      <c r="U112" s="0" t="s">
        <v>2</v>
      </c>
      <c r="V112" s="0" t="s">
        <v>3</v>
      </c>
      <c r="W112" s="0" t="n">
        <v>16.867176</v>
      </c>
      <c r="X112" s="0" t="s">
        <v>4</v>
      </c>
      <c r="Y112" s="1" t="s">
        <v>5</v>
      </c>
      <c r="Z112" s="0" t="n">
        <v>20.20471</v>
      </c>
      <c r="AB112" s="1" t="s">
        <v>6</v>
      </c>
      <c r="AC112" s="0" t="n">
        <v>6.668557</v>
      </c>
      <c r="AD112" s="0" t="s">
        <v>46</v>
      </c>
      <c r="AE112" s="1" t="s">
        <v>6</v>
      </c>
      <c r="AF112" s="0" t="n">
        <v>37.456681</v>
      </c>
      <c r="AG112" s="0" t="s">
        <v>8</v>
      </c>
      <c r="AH112" s="1" t="s">
        <v>5</v>
      </c>
      <c r="AI112" s="0" t="n">
        <v>13.431064</v>
      </c>
      <c r="AJ112" s="0" t="s">
        <v>9</v>
      </c>
      <c r="AK112" s="1" t="s">
        <v>5</v>
      </c>
      <c r="AL112" s="0" t="s">
        <v>11</v>
      </c>
      <c r="AM112" s="0" t="s">
        <v>2</v>
      </c>
      <c r="AN112" s="0" t="s">
        <v>3</v>
      </c>
      <c r="AO112" s="0" t="n">
        <v>110.20258</v>
      </c>
      <c r="AP112" s="0" t="n">
        <v>-1</v>
      </c>
      <c r="AQ112" s="0" t="n">
        <v>0</v>
      </c>
      <c r="AR112" s="0" t="s">
        <v>210</v>
      </c>
      <c r="AS112" s="2" t="str">
        <f aca="false">IF(AND(G112="true",J112="true",M112="true",P112="true",S112="true"),"true","false")</f>
        <v>false</v>
      </c>
      <c r="AT112" s="0" t="str">
        <f aca="false">IF(AND(Y112="true",AB112="true",AE112="true",AH112="true",AK112="true"),"true","false")</f>
        <v>false</v>
      </c>
    </row>
    <row r="113" customFormat="false" ht="12.8" hidden="false" customHeight="false" outlineLevel="0" collapsed="false">
      <c r="A113" s="0" t="s">
        <v>211</v>
      </c>
      <c r="B113" s="0" t="s">
        <v>1</v>
      </c>
      <c r="C113" s="0" t="s">
        <v>11</v>
      </c>
      <c r="D113" s="0" t="s">
        <v>3</v>
      </c>
      <c r="E113" s="0" t="n">
        <v>27.011756</v>
      </c>
      <c r="F113" s="0" t="s">
        <v>21</v>
      </c>
      <c r="G113" s="1" t="s">
        <v>5</v>
      </c>
      <c r="H113" s="0" t="n">
        <v>16.984471</v>
      </c>
      <c r="I113" s="0" t="s">
        <v>17</v>
      </c>
      <c r="J113" s="1" t="s">
        <v>5</v>
      </c>
      <c r="K113" s="0" t="n">
        <v>5.689018</v>
      </c>
      <c r="L113" s="0" t="s">
        <v>12</v>
      </c>
      <c r="M113" s="1" t="s">
        <v>5</v>
      </c>
      <c r="N113" s="0" t="n">
        <v>32.770637</v>
      </c>
      <c r="O113" s="0" t="s">
        <v>22</v>
      </c>
      <c r="P113" s="1" t="s">
        <v>6</v>
      </c>
      <c r="Q113" s="0" t="n">
        <v>29.707738</v>
      </c>
      <c r="R113" s="0" t="s">
        <v>15</v>
      </c>
      <c r="S113" s="1" t="s">
        <v>6</v>
      </c>
      <c r="T113" s="0" t="s">
        <v>10</v>
      </c>
      <c r="U113" s="0" t="s">
        <v>2</v>
      </c>
      <c r="V113" s="0" t="s">
        <v>3</v>
      </c>
      <c r="W113" s="0" t="n">
        <v>29.95134</v>
      </c>
      <c r="X113" s="0" t="s">
        <v>39</v>
      </c>
      <c r="Y113" s="1" t="s">
        <v>6</v>
      </c>
      <c r="Z113" s="0" t="n">
        <v>122.057518</v>
      </c>
      <c r="AA113" s="0" t="s">
        <v>40</v>
      </c>
      <c r="AB113" s="1" t="s">
        <v>6</v>
      </c>
      <c r="AC113" s="0" t="n">
        <v>62.64823</v>
      </c>
      <c r="AD113" s="0" t="s">
        <v>212</v>
      </c>
      <c r="AE113" s="1" t="s">
        <v>6</v>
      </c>
      <c r="AF113" s="0" t="n">
        <v>39.669947</v>
      </c>
      <c r="AG113" s="0" t="s">
        <v>151</v>
      </c>
      <c r="AH113" s="1" t="s">
        <v>6</v>
      </c>
      <c r="AI113" s="0" t="n">
        <v>7.235328</v>
      </c>
      <c r="AJ113" s="0" t="s">
        <v>15</v>
      </c>
      <c r="AK113" s="1" t="s">
        <v>6</v>
      </c>
      <c r="AL113" s="0" t="s">
        <v>11</v>
      </c>
      <c r="AM113" s="0" t="s">
        <v>2</v>
      </c>
      <c r="AN113" s="0" t="s">
        <v>3</v>
      </c>
      <c r="AO113" s="0" t="n">
        <v>11.986628</v>
      </c>
      <c r="AP113" s="0" t="n">
        <v>1</v>
      </c>
      <c r="AQ113" s="0" t="n">
        <v>-1</v>
      </c>
      <c r="AS113" s="2" t="str">
        <f aca="false">IF(AND(G113="true",J113="true",M113="true",P113="true",S113="true"),"true","false")</f>
        <v>false</v>
      </c>
      <c r="AT113" s="0" t="str">
        <f aca="false">IF(AND(Y113="true",AB113="true",AE113="true",AH113="true",AK113="true"),"true","false")</f>
        <v>false</v>
      </c>
    </row>
    <row r="114" customFormat="false" ht="12.8" hidden="false" customHeight="false" outlineLevel="0" collapsed="false">
      <c r="A114" s="0" t="s">
        <v>213</v>
      </c>
      <c r="B114" s="0" t="s">
        <v>1</v>
      </c>
      <c r="C114" s="0" t="s">
        <v>2</v>
      </c>
      <c r="D114" s="0" t="s">
        <v>3</v>
      </c>
      <c r="E114" s="0" t="n">
        <v>16.386503</v>
      </c>
      <c r="F114" s="0" t="s">
        <v>7</v>
      </c>
      <c r="G114" s="1" t="s">
        <v>6</v>
      </c>
      <c r="H114" s="0" t="n">
        <v>29.09707</v>
      </c>
      <c r="I114" s="0" t="s">
        <v>7</v>
      </c>
      <c r="J114" s="1" t="s">
        <v>5</v>
      </c>
      <c r="K114" s="0" t="n">
        <v>12.002061</v>
      </c>
      <c r="L114" s="0" t="s">
        <v>4</v>
      </c>
      <c r="M114" s="1" t="s">
        <v>5</v>
      </c>
      <c r="N114" s="0" t="n">
        <v>27.552096</v>
      </c>
      <c r="O114" s="0" t="s">
        <v>8</v>
      </c>
      <c r="P114" s="1" t="s">
        <v>5</v>
      </c>
      <c r="Q114" s="0" t="n">
        <v>47.299179</v>
      </c>
      <c r="R114" s="0" t="s">
        <v>15</v>
      </c>
      <c r="S114" s="1" t="s">
        <v>6</v>
      </c>
      <c r="T114" s="0" t="s">
        <v>10</v>
      </c>
      <c r="U114" s="0" t="s">
        <v>11</v>
      </c>
      <c r="V114" s="0" t="s">
        <v>3</v>
      </c>
      <c r="W114" s="0" t="n">
        <v>45.172854</v>
      </c>
      <c r="X114" s="0" t="s">
        <v>21</v>
      </c>
      <c r="Y114" s="1" t="s">
        <v>5</v>
      </c>
      <c r="Z114" s="0" t="n">
        <v>102.19235</v>
      </c>
      <c r="AA114" s="0" t="s">
        <v>17</v>
      </c>
      <c r="AB114" s="1" t="s">
        <v>5</v>
      </c>
      <c r="AC114" s="0" t="n">
        <v>13.386827</v>
      </c>
      <c r="AD114" s="0" t="s">
        <v>12</v>
      </c>
      <c r="AE114" s="1" t="s">
        <v>5</v>
      </c>
      <c r="AF114" s="0" t="n">
        <v>28.303254</v>
      </c>
      <c r="AG114" s="0" t="s">
        <v>158</v>
      </c>
      <c r="AH114" s="1" t="s">
        <v>6</v>
      </c>
      <c r="AI114" s="0" t="n">
        <v>14.883758</v>
      </c>
      <c r="AJ114" s="0" t="s">
        <v>15</v>
      </c>
      <c r="AK114" s="1" t="s">
        <v>5</v>
      </c>
      <c r="AL114" s="0" t="s">
        <v>2</v>
      </c>
      <c r="AM114" s="0" t="s">
        <v>11</v>
      </c>
      <c r="AN114" s="0" t="s">
        <v>3</v>
      </c>
      <c r="AO114" s="0" t="n">
        <v>26.851236</v>
      </c>
      <c r="AP114" s="0" t="n">
        <v>1</v>
      </c>
      <c r="AQ114" s="0" t="n">
        <v>-1</v>
      </c>
      <c r="AS114" s="2" t="str">
        <f aca="false">IF(AND(G114="true",J114="true",M114="true",P114="true",S114="true"),"true","false")</f>
        <v>false</v>
      </c>
      <c r="AT114" s="0" t="str">
        <f aca="false">IF(AND(Y114="true",AB114="true",AE114="true",AH114="true",AK114="true"),"true","false")</f>
        <v>false</v>
      </c>
    </row>
    <row r="115" customFormat="false" ht="12.8" hidden="false" customHeight="false" outlineLevel="0" collapsed="false">
      <c r="A115" s="0" t="s">
        <v>214</v>
      </c>
      <c r="B115" s="0" t="s">
        <v>1</v>
      </c>
      <c r="C115" s="0" t="s">
        <v>11</v>
      </c>
      <c r="D115" s="0" t="s">
        <v>3</v>
      </c>
      <c r="E115" s="0" t="n">
        <v>21.916882</v>
      </c>
      <c r="F115" s="0" t="s">
        <v>21</v>
      </c>
      <c r="G115" s="1" t="s">
        <v>5</v>
      </c>
      <c r="H115" s="0" t="n">
        <v>11.839815</v>
      </c>
      <c r="I115" s="0" t="s">
        <v>17</v>
      </c>
      <c r="J115" s="1" t="s">
        <v>5</v>
      </c>
      <c r="K115" s="0" t="n">
        <v>20.577574</v>
      </c>
      <c r="L115" s="0" t="s">
        <v>12</v>
      </c>
      <c r="M115" s="1" t="s">
        <v>5</v>
      </c>
      <c r="N115" s="0" t="n">
        <v>32.723432</v>
      </c>
      <c r="O115" s="0" t="s">
        <v>22</v>
      </c>
      <c r="P115" s="1" t="s">
        <v>6</v>
      </c>
      <c r="Q115" s="0" t="n">
        <v>46.615222</v>
      </c>
      <c r="R115" s="0" t="s">
        <v>15</v>
      </c>
      <c r="S115" s="1" t="s">
        <v>6</v>
      </c>
      <c r="T115" s="0" t="s">
        <v>10</v>
      </c>
      <c r="U115" s="0" t="s">
        <v>2</v>
      </c>
      <c r="V115" s="0" t="s">
        <v>3</v>
      </c>
      <c r="W115" s="0" t="n">
        <v>46.406422</v>
      </c>
      <c r="X115" s="0" t="s">
        <v>4</v>
      </c>
      <c r="Y115" s="1" t="s">
        <v>5</v>
      </c>
      <c r="Z115" s="0" t="n">
        <v>13.383002</v>
      </c>
      <c r="AA115" s="0" t="s">
        <v>4</v>
      </c>
      <c r="AB115" s="1" t="s">
        <v>6</v>
      </c>
      <c r="AC115" s="0" t="n">
        <v>11.753052</v>
      </c>
      <c r="AD115" s="0" t="s">
        <v>7</v>
      </c>
      <c r="AE115" s="1" t="s">
        <v>6</v>
      </c>
      <c r="AF115" s="0" t="n">
        <v>18.342537</v>
      </c>
      <c r="AG115" s="0" t="s">
        <v>8</v>
      </c>
      <c r="AH115" s="1" t="s">
        <v>5</v>
      </c>
      <c r="AI115" s="0" t="n">
        <v>27.347715</v>
      </c>
      <c r="AJ115" s="0" t="s">
        <v>15</v>
      </c>
      <c r="AK115" s="1" t="s">
        <v>6</v>
      </c>
      <c r="AL115" s="0" t="s">
        <v>11</v>
      </c>
      <c r="AM115" s="0" t="s">
        <v>2</v>
      </c>
      <c r="AN115" s="0" t="s">
        <v>3</v>
      </c>
      <c r="AO115" s="0" t="n">
        <v>80.557699</v>
      </c>
      <c r="AP115" s="0" t="n">
        <v>1</v>
      </c>
      <c r="AQ115" s="0" t="n">
        <v>-1</v>
      </c>
      <c r="AR115" s="0" t="s">
        <v>215</v>
      </c>
      <c r="AS115" s="2" t="str">
        <f aca="false">IF(AND(G115="true",J115="true",M115="true",P115="true",S115="true"),"true","false")</f>
        <v>false</v>
      </c>
      <c r="AT115" s="0" t="str">
        <f aca="false">IF(AND(Y115="true",AB115="true",AE115="true",AH115="true",AK115="true"),"true","false")</f>
        <v>false</v>
      </c>
    </row>
    <row r="116" customFormat="false" ht="12.8" hidden="false" customHeight="false" outlineLevel="0" collapsed="false">
      <c r="A116" s="0" t="s">
        <v>216</v>
      </c>
      <c r="B116" s="0" t="s">
        <v>1</v>
      </c>
      <c r="C116" s="0" t="s">
        <v>11</v>
      </c>
      <c r="D116" s="0" t="s">
        <v>3</v>
      </c>
      <c r="E116" s="0" t="n">
        <v>34.869487</v>
      </c>
      <c r="F116" s="0" t="s">
        <v>21</v>
      </c>
      <c r="G116" s="1" t="s">
        <v>5</v>
      </c>
      <c r="H116" s="0" t="n">
        <v>33.797955</v>
      </c>
      <c r="I116" s="0" t="s">
        <v>21</v>
      </c>
      <c r="J116" s="1" t="s">
        <v>6</v>
      </c>
      <c r="K116" s="0" t="n">
        <v>11.216351</v>
      </c>
      <c r="L116" s="0" t="s">
        <v>12</v>
      </c>
      <c r="M116" s="1" t="s">
        <v>5</v>
      </c>
      <c r="N116" s="0" t="n">
        <v>40.645413</v>
      </c>
      <c r="O116" s="0" t="s">
        <v>22</v>
      </c>
      <c r="P116" s="1" t="s">
        <v>6</v>
      </c>
      <c r="Q116" s="0" t="n">
        <v>39.189868</v>
      </c>
      <c r="R116" s="0" t="s">
        <v>9</v>
      </c>
      <c r="S116" s="1" t="s">
        <v>6</v>
      </c>
      <c r="T116" s="0" t="s">
        <v>10</v>
      </c>
      <c r="U116" s="0" t="s">
        <v>2</v>
      </c>
      <c r="V116" s="0" t="s">
        <v>3</v>
      </c>
      <c r="W116" s="0" t="n">
        <v>20.707251</v>
      </c>
      <c r="X116" s="0" t="s">
        <v>40</v>
      </c>
      <c r="Y116" s="1" t="s">
        <v>6</v>
      </c>
      <c r="Z116" s="0" t="n">
        <v>7.607607</v>
      </c>
      <c r="AA116" s="0" t="s">
        <v>4</v>
      </c>
      <c r="AB116" s="1" t="s">
        <v>6</v>
      </c>
      <c r="AC116" s="0" t="n">
        <v>25.779225</v>
      </c>
      <c r="AD116" s="0" t="s">
        <v>4</v>
      </c>
      <c r="AE116" s="1" t="s">
        <v>5</v>
      </c>
      <c r="AF116" s="0" t="n">
        <v>22.579406</v>
      </c>
      <c r="AG116" s="0" t="s">
        <v>8</v>
      </c>
      <c r="AH116" s="1" t="s">
        <v>5</v>
      </c>
      <c r="AI116" s="0" t="n">
        <v>20.490874</v>
      </c>
      <c r="AJ116" s="0" t="s">
        <v>9</v>
      </c>
      <c r="AK116" s="1" t="s">
        <v>5</v>
      </c>
      <c r="AL116" s="0" t="s">
        <v>11</v>
      </c>
      <c r="AM116" s="0" t="s">
        <v>2</v>
      </c>
      <c r="AN116" s="0" t="s">
        <v>3</v>
      </c>
      <c r="AO116" s="0" t="n">
        <v>15.914827</v>
      </c>
      <c r="AP116" s="0" t="n">
        <v>1</v>
      </c>
      <c r="AQ116" s="0" t="n">
        <v>2</v>
      </c>
      <c r="AS116" s="2" t="str">
        <f aca="false">IF(AND(G116="true",J116="true",M116="true",P116="true",S116="true"),"true","false")</f>
        <v>false</v>
      </c>
      <c r="AT116" s="0" t="str">
        <f aca="false">IF(AND(Y116="true",AB116="true",AE116="true",AH116="true",AK116="true"),"true","false")</f>
        <v>false</v>
      </c>
    </row>
    <row r="117" customFormat="false" ht="12.8" hidden="false" customHeight="false" outlineLevel="0" collapsed="false">
      <c r="A117" s="0" t="s">
        <v>217</v>
      </c>
      <c r="B117" s="0" t="s">
        <v>1</v>
      </c>
      <c r="C117" s="0" t="s">
        <v>11</v>
      </c>
      <c r="D117" s="0" t="s">
        <v>3</v>
      </c>
      <c r="E117" s="0" t="n">
        <v>13.048544</v>
      </c>
      <c r="F117" s="0" t="s">
        <v>12</v>
      </c>
      <c r="G117" s="1" t="s">
        <v>6</v>
      </c>
      <c r="H117" s="0" t="n">
        <v>13.577668</v>
      </c>
      <c r="I117" s="0" t="s">
        <v>12</v>
      </c>
      <c r="J117" s="1" t="s">
        <v>6</v>
      </c>
      <c r="K117" s="0" t="n">
        <v>19.02545</v>
      </c>
      <c r="L117" s="0" t="s">
        <v>12</v>
      </c>
      <c r="M117" s="1" t="s">
        <v>5</v>
      </c>
      <c r="N117" s="0" t="n">
        <v>26.743155</v>
      </c>
      <c r="O117" s="0" t="s">
        <v>22</v>
      </c>
      <c r="P117" s="1" t="s">
        <v>6</v>
      </c>
      <c r="Q117" s="0" t="n">
        <v>8.096225</v>
      </c>
      <c r="R117" s="0" t="s">
        <v>15</v>
      </c>
      <c r="S117" s="1" t="s">
        <v>6</v>
      </c>
      <c r="T117" s="0" t="s">
        <v>10</v>
      </c>
      <c r="U117" s="0" t="s">
        <v>2</v>
      </c>
      <c r="V117" s="0" t="s">
        <v>3</v>
      </c>
      <c r="W117" s="0" t="n">
        <v>27.244087</v>
      </c>
      <c r="X117" s="0" t="s">
        <v>40</v>
      </c>
      <c r="Y117" s="1" t="s">
        <v>6</v>
      </c>
      <c r="Z117" s="0" t="n">
        <v>19.15705</v>
      </c>
      <c r="AA117" s="0" t="s">
        <v>7</v>
      </c>
      <c r="AB117" s="1" t="s">
        <v>5</v>
      </c>
      <c r="AC117" s="0" t="n">
        <v>4.185243</v>
      </c>
      <c r="AD117" s="0" t="s">
        <v>46</v>
      </c>
      <c r="AE117" s="1" t="s">
        <v>6</v>
      </c>
      <c r="AF117" s="0" t="n">
        <v>15.768359</v>
      </c>
      <c r="AG117" s="0" t="s">
        <v>8</v>
      </c>
      <c r="AH117" s="1" t="s">
        <v>5</v>
      </c>
      <c r="AI117" s="0" t="n">
        <v>16.466974</v>
      </c>
      <c r="AJ117" s="0" t="s">
        <v>9</v>
      </c>
      <c r="AK117" s="1" t="s">
        <v>5</v>
      </c>
      <c r="AL117" s="0" t="s">
        <v>11</v>
      </c>
      <c r="AM117" s="0" t="s">
        <v>2</v>
      </c>
      <c r="AN117" s="0" t="s">
        <v>3</v>
      </c>
      <c r="AO117" s="0" t="n">
        <v>15.466711</v>
      </c>
      <c r="AP117" s="0" t="n">
        <v>1</v>
      </c>
      <c r="AQ117" s="0" t="n">
        <v>0</v>
      </c>
      <c r="AS117" s="2" t="str">
        <f aca="false">IF(AND(G117="true",J117="true",M117="true",P117="true",S117="true"),"true","false")</f>
        <v>false</v>
      </c>
      <c r="AT117" s="0" t="str">
        <f aca="false">IF(AND(Y117="true",AB117="true",AE117="true",AH117="true",AK117="true"),"true","false")</f>
        <v>false</v>
      </c>
    </row>
    <row r="118" customFormat="false" ht="12.8" hidden="false" customHeight="false" outlineLevel="0" collapsed="false">
      <c r="A118" s="0" t="s">
        <v>218</v>
      </c>
      <c r="B118" s="0" t="s">
        <v>1</v>
      </c>
      <c r="C118" s="0" t="s">
        <v>11</v>
      </c>
      <c r="D118" s="0" t="s">
        <v>3</v>
      </c>
      <c r="E118" s="0" t="n">
        <v>43.349338</v>
      </c>
      <c r="F118" s="0" t="s">
        <v>21</v>
      </c>
      <c r="G118" s="1" t="s">
        <v>5</v>
      </c>
      <c r="H118" s="0" t="n">
        <v>147.088942</v>
      </c>
      <c r="I118" s="0" t="s">
        <v>17</v>
      </c>
      <c r="J118" s="1" t="s">
        <v>5</v>
      </c>
      <c r="K118" s="0" t="n">
        <v>23.171997</v>
      </c>
      <c r="L118" s="0" t="s">
        <v>12</v>
      </c>
      <c r="M118" s="1" t="s">
        <v>5</v>
      </c>
      <c r="N118" s="0" t="n">
        <v>67.964055</v>
      </c>
      <c r="O118" s="0" t="s">
        <v>22</v>
      </c>
      <c r="P118" s="1" t="s">
        <v>6</v>
      </c>
      <c r="Q118" s="0" t="n">
        <v>57.221657</v>
      </c>
      <c r="R118" s="0" t="s">
        <v>15</v>
      </c>
      <c r="S118" s="1" t="s">
        <v>6</v>
      </c>
      <c r="T118" s="0" t="s">
        <v>10</v>
      </c>
      <c r="U118" s="0" t="s">
        <v>2</v>
      </c>
      <c r="V118" s="0" t="s">
        <v>3</v>
      </c>
      <c r="W118" s="0" t="n">
        <v>58.613315</v>
      </c>
      <c r="X118" s="0" t="s">
        <v>4</v>
      </c>
      <c r="Y118" s="1" t="s">
        <v>5</v>
      </c>
      <c r="Z118" s="0" t="n">
        <v>126.160924</v>
      </c>
      <c r="AA118" s="0" t="s">
        <v>4</v>
      </c>
      <c r="AB118" s="1" t="s">
        <v>6</v>
      </c>
      <c r="AC118" s="0" t="n">
        <v>21.756053</v>
      </c>
      <c r="AD118" s="0" t="s">
        <v>7</v>
      </c>
      <c r="AE118" s="1" t="s">
        <v>6</v>
      </c>
      <c r="AF118" s="0" t="n">
        <v>41.166969</v>
      </c>
      <c r="AG118" s="0" t="s">
        <v>8</v>
      </c>
      <c r="AH118" s="1" t="s">
        <v>5</v>
      </c>
      <c r="AI118" s="0" t="n">
        <v>22.616994</v>
      </c>
      <c r="AJ118" s="0" t="s">
        <v>15</v>
      </c>
      <c r="AK118" s="1" t="s">
        <v>6</v>
      </c>
      <c r="AL118" s="0" t="s">
        <v>11</v>
      </c>
      <c r="AM118" s="0" t="s">
        <v>2</v>
      </c>
      <c r="AN118" s="0" t="s">
        <v>3</v>
      </c>
      <c r="AO118" s="0" t="n">
        <v>25.372036</v>
      </c>
      <c r="AP118" s="0" t="n">
        <v>-1</v>
      </c>
      <c r="AQ118" s="0" t="n">
        <v>0</v>
      </c>
      <c r="AS118" s="2" t="str">
        <f aca="false">IF(AND(G118="true",J118="true",M118="true",P118="true",S118="true"),"true","false")</f>
        <v>false</v>
      </c>
      <c r="AT118" s="0" t="str">
        <f aca="false">IF(AND(Y118="true",AB118="true",AE118="true",AH118="true",AK118="true"),"true","false")</f>
        <v>false</v>
      </c>
    </row>
    <row r="119" customFormat="false" ht="12.8" hidden="false" customHeight="false" outlineLevel="0" collapsed="false">
      <c r="A119" s="0" t="s">
        <v>219</v>
      </c>
      <c r="B119" s="0" t="s">
        <v>1</v>
      </c>
      <c r="C119" s="0" t="s">
        <v>11</v>
      </c>
      <c r="D119" s="0" t="s">
        <v>3</v>
      </c>
      <c r="E119" s="0" t="n">
        <v>88.021159</v>
      </c>
      <c r="F119" s="0" t="s">
        <v>12</v>
      </c>
      <c r="G119" s="1" t="s">
        <v>6</v>
      </c>
      <c r="H119" s="0" t="n">
        <v>48.91803</v>
      </c>
      <c r="I119" s="0" t="s">
        <v>12</v>
      </c>
      <c r="J119" s="1" t="s">
        <v>6</v>
      </c>
      <c r="K119" s="0" t="n">
        <v>15.585238</v>
      </c>
      <c r="L119" s="0" t="s">
        <v>12</v>
      </c>
      <c r="M119" s="1" t="s">
        <v>5</v>
      </c>
      <c r="N119" s="0" t="n">
        <v>51.811082</v>
      </c>
      <c r="O119" s="0" t="s">
        <v>22</v>
      </c>
      <c r="P119" s="1" t="s">
        <v>6</v>
      </c>
      <c r="Q119" s="0" t="n">
        <v>176.79579</v>
      </c>
      <c r="R119" s="0" t="s">
        <v>15</v>
      </c>
      <c r="S119" s="1" t="s">
        <v>6</v>
      </c>
      <c r="T119" s="0" t="s">
        <v>10</v>
      </c>
      <c r="U119" s="0" t="s">
        <v>2</v>
      </c>
      <c r="V119" s="0" t="s">
        <v>3</v>
      </c>
      <c r="W119" s="0" t="n">
        <v>278.490979</v>
      </c>
      <c r="X119" s="0" t="s">
        <v>4</v>
      </c>
      <c r="Y119" s="1" t="s">
        <v>5</v>
      </c>
      <c r="Z119" s="0" t="n">
        <v>17.452215</v>
      </c>
      <c r="AA119" s="0" t="s">
        <v>46</v>
      </c>
      <c r="AB119" s="1" t="s">
        <v>6</v>
      </c>
      <c r="AC119" s="0" t="n">
        <v>64.862398</v>
      </c>
      <c r="AD119" s="0" t="s">
        <v>4</v>
      </c>
      <c r="AE119" s="1" t="s">
        <v>5</v>
      </c>
      <c r="AF119" s="0" t="n">
        <v>41.294653</v>
      </c>
      <c r="AG119" s="0" t="s">
        <v>47</v>
      </c>
      <c r="AH119" s="1" t="s">
        <v>6</v>
      </c>
      <c r="AI119" s="0" t="n">
        <v>21.809875</v>
      </c>
      <c r="AJ119" s="0" t="s">
        <v>51</v>
      </c>
      <c r="AK119" s="1" t="s">
        <v>6</v>
      </c>
      <c r="AL119" s="0" t="s">
        <v>11</v>
      </c>
      <c r="AM119" s="0" t="s">
        <v>2</v>
      </c>
      <c r="AN119" s="0" t="s">
        <v>3</v>
      </c>
      <c r="AO119" s="0" t="n">
        <v>11.715465</v>
      </c>
      <c r="AP119" s="0" t="n">
        <v>-2</v>
      </c>
      <c r="AQ119" s="0" t="n">
        <v>-2</v>
      </c>
      <c r="AS119" s="2" t="str">
        <f aca="false">IF(AND(G119="true",J119="true",M119="true",P119="true",S119="true"),"true","false")</f>
        <v>false</v>
      </c>
      <c r="AT119" s="0" t="str">
        <f aca="false">IF(AND(Y119="true",AB119="true",AE119="true",AH119="true",AK119="true"),"true","false")</f>
        <v>false</v>
      </c>
    </row>
    <row r="120" customFormat="false" ht="12.8" hidden="false" customHeight="false" outlineLevel="0" collapsed="false">
      <c r="A120" s="0" t="s">
        <v>220</v>
      </c>
      <c r="B120" s="0" t="s">
        <v>1</v>
      </c>
      <c r="C120" s="0" t="s">
        <v>11</v>
      </c>
      <c r="D120" s="0" t="s">
        <v>3</v>
      </c>
      <c r="E120" s="0" t="n">
        <v>30.090444</v>
      </c>
      <c r="F120" s="0" t="s">
        <v>21</v>
      </c>
      <c r="G120" s="1" t="s">
        <v>5</v>
      </c>
      <c r="H120" s="0" t="n">
        <v>27.345027</v>
      </c>
      <c r="I120" s="0" t="s">
        <v>12</v>
      </c>
      <c r="J120" s="1" t="s">
        <v>6</v>
      </c>
      <c r="K120" s="0" t="n">
        <v>34.720805</v>
      </c>
      <c r="L120" s="0" t="s">
        <v>17</v>
      </c>
      <c r="M120" s="1" t="s">
        <v>6</v>
      </c>
      <c r="N120" s="0" t="n">
        <v>77.888949</v>
      </c>
      <c r="O120" s="0" t="s">
        <v>22</v>
      </c>
      <c r="P120" s="1" t="s">
        <v>6</v>
      </c>
      <c r="Q120" s="0" t="n">
        <v>9.953457</v>
      </c>
      <c r="R120" s="0" t="s">
        <v>15</v>
      </c>
      <c r="S120" s="1" t="s">
        <v>6</v>
      </c>
      <c r="T120" s="0" t="s">
        <v>10</v>
      </c>
      <c r="U120" s="0" t="s">
        <v>2</v>
      </c>
      <c r="V120" s="0" t="s">
        <v>3</v>
      </c>
      <c r="W120" s="0" t="n">
        <v>29.25068</v>
      </c>
      <c r="X120" s="0" t="s">
        <v>4</v>
      </c>
      <c r="Y120" s="1" t="s">
        <v>5</v>
      </c>
      <c r="Z120" s="0" t="n">
        <v>80.549447</v>
      </c>
      <c r="AA120" s="0" t="s">
        <v>81</v>
      </c>
      <c r="AB120" s="1" t="s">
        <v>6</v>
      </c>
      <c r="AC120" s="0" t="n">
        <v>32.761792</v>
      </c>
      <c r="AD120" s="0" t="s">
        <v>28</v>
      </c>
      <c r="AE120" s="1" t="s">
        <v>6</v>
      </c>
      <c r="AF120" s="0" t="n">
        <v>16.629919</v>
      </c>
      <c r="AG120" s="0" t="s">
        <v>8</v>
      </c>
      <c r="AH120" s="1" t="s">
        <v>5</v>
      </c>
      <c r="AI120" s="0" t="n">
        <v>10.585298</v>
      </c>
      <c r="AJ120" s="0" t="s">
        <v>9</v>
      </c>
      <c r="AK120" s="1" t="s">
        <v>5</v>
      </c>
      <c r="AL120" s="0" t="s">
        <v>11</v>
      </c>
      <c r="AM120" s="0" t="s">
        <v>2</v>
      </c>
      <c r="AN120" s="0" t="s">
        <v>3</v>
      </c>
      <c r="AO120" s="0" t="n">
        <v>110.921386</v>
      </c>
      <c r="AP120" s="0" t="n">
        <v>-1</v>
      </c>
      <c r="AQ120" s="0" t="n">
        <v>0</v>
      </c>
      <c r="AS120" s="2" t="str">
        <f aca="false">IF(AND(G120="true",J120="true",M120="true",P120="true",S120="true"),"true","false")</f>
        <v>false</v>
      </c>
      <c r="AT120" s="0" t="str">
        <f aca="false">IF(AND(Y120="true",AB120="true",AE120="true",AH120="true",AK120="true"),"true","false")</f>
        <v>false</v>
      </c>
    </row>
    <row r="121" customFormat="false" ht="12.8" hidden="false" customHeight="false" outlineLevel="0" collapsed="false">
      <c r="A121" s="0" t="s">
        <v>221</v>
      </c>
      <c r="B121" s="0" t="s">
        <v>1</v>
      </c>
      <c r="C121" s="0" t="s">
        <v>11</v>
      </c>
      <c r="D121" s="0" t="s">
        <v>3</v>
      </c>
      <c r="E121" s="0" t="n">
        <v>94.481841</v>
      </c>
      <c r="F121" s="0" t="s">
        <v>21</v>
      </c>
      <c r="G121" s="1" t="s">
        <v>5</v>
      </c>
      <c r="H121" s="0" t="n">
        <v>29.935677</v>
      </c>
      <c r="I121" s="0" t="s">
        <v>17</v>
      </c>
      <c r="J121" s="1" t="s">
        <v>5</v>
      </c>
      <c r="K121" s="0" t="n">
        <v>4.941609</v>
      </c>
      <c r="L121" s="0" t="s">
        <v>12</v>
      </c>
      <c r="M121" s="1" t="s">
        <v>5</v>
      </c>
      <c r="N121" s="0" t="n">
        <v>86.139711</v>
      </c>
      <c r="O121" s="0" t="s">
        <v>22</v>
      </c>
      <c r="P121" s="1" t="s">
        <v>6</v>
      </c>
      <c r="Q121" s="0" t="n">
        <v>131.734787</v>
      </c>
      <c r="R121" s="0" t="s">
        <v>15</v>
      </c>
      <c r="S121" s="1" t="s">
        <v>6</v>
      </c>
      <c r="T121" s="0" t="s">
        <v>10</v>
      </c>
      <c r="U121" s="0" t="s">
        <v>2</v>
      </c>
      <c r="V121" s="0" t="s">
        <v>3</v>
      </c>
      <c r="W121" s="0" t="n">
        <v>77.567611</v>
      </c>
      <c r="X121" s="0" t="s">
        <v>4</v>
      </c>
      <c r="Y121" s="1" t="s">
        <v>5</v>
      </c>
      <c r="Z121" s="0" t="n">
        <v>20.137554</v>
      </c>
      <c r="AA121" s="0" t="s">
        <v>7</v>
      </c>
      <c r="AB121" s="1" t="s">
        <v>5</v>
      </c>
      <c r="AC121" s="0" t="n">
        <v>7.277807</v>
      </c>
      <c r="AD121" s="0" t="s">
        <v>46</v>
      </c>
      <c r="AE121" s="1" t="s">
        <v>6</v>
      </c>
      <c r="AF121" s="0" t="n">
        <v>33.22245</v>
      </c>
      <c r="AG121" s="0" t="s">
        <v>8</v>
      </c>
      <c r="AH121" s="1" t="s">
        <v>5</v>
      </c>
      <c r="AI121" s="0" t="n">
        <v>146.459319</v>
      </c>
      <c r="AJ121" s="0" t="s">
        <v>15</v>
      </c>
      <c r="AK121" s="1" t="s">
        <v>6</v>
      </c>
      <c r="AL121" s="0" t="s">
        <v>11</v>
      </c>
      <c r="AM121" s="0" t="s">
        <v>2</v>
      </c>
      <c r="AN121" s="0" t="s">
        <v>3</v>
      </c>
      <c r="AO121" s="0" t="n">
        <v>42.203145</v>
      </c>
      <c r="AP121" s="0" t="n">
        <v>1</v>
      </c>
      <c r="AQ121" s="0" t="n">
        <v>1</v>
      </c>
      <c r="AR121" s="0" t="s">
        <v>222</v>
      </c>
      <c r="AS121" s="2" t="str">
        <f aca="false">IF(AND(G121="true",J121="true",M121="true",P121="true",S121="true"),"true","false")</f>
        <v>false</v>
      </c>
      <c r="AT121" s="0" t="str">
        <f aca="false">IF(AND(Y121="true",AB121="true",AE121="true",AH121="true",AK121="true"),"true","false")</f>
        <v>false</v>
      </c>
    </row>
    <row r="122" customFormat="false" ht="12.8" hidden="false" customHeight="false" outlineLevel="0" collapsed="false">
      <c r="A122" s="0" t="s">
        <v>223</v>
      </c>
      <c r="B122" s="0" t="s">
        <v>1</v>
      </c>
      <c r="C122" s="0" t="s">
        <v>11</v>
      </c>
      <c r="D122" s="0" t="s">
        <v>3</v>
      </c>
      <c r="E122" s="0" t="n">
        <v>26.423855</v>
      </c>
      <c r="F122" s="0" t="s">
        <v>12</v>
      </c>
      <c r="G122" s="1" t="s">
        <v>6</v>
      </c>
      <c r="H122" s="0" t="n">
        <v>15.243879</v>
      </c>
      <c r="I122" s="0" t="s">
        <v>12</v>
      </c>
      <c r="J122" s="1" t="s">
        <v>6</v>
      </c>
      <c r="K122" s="0" t="n">
        <v>26.400923</v>
      </c>
      <c r="L122" s="0" t="s">
        <v>12</v>
      </c>
      <c r="M122" s="1" t="s">
        <v>5</v>
      </c>
      <c r="N122" s="0" t="n">
        <v>29.995501</v>
      </c>
      <c r="O122" s="0" t="s">
        <v>90</v>
      </c>
      <c r="P122" s="1" t="s">
        <v>6</v>
      </c>
      <c r="Q122" s="0" t="n">
        <v>31.187535</v>
      </c>
      <c r="R122" s="0" t="s">
        <v>15</v>
      </c>
      <c r="S122" s="1" t="s">
        <v>6</v>
      </c>
      <c r="T122" s="0" t="s">
        <v>10</v>
      </c>
      <c r="U122" s="0" t="s">
        <v>2</v>
      </c>
      <c r="V122" s="0" t="s">
        <v>3</v>
      </c>
      <c r="W122" s="0" t="n">
        <v>22.848976</v>
      </c>
      <c r="X122" s="0" t="s">
        <v>82</v>
      </c>
      <c r="Y122" s="1" t="s">
        <v>6</v>
      </c>
      <c r="Z122" s="0" t="n">
        <v>4.603443</v>
      </c>
      <c r="AA122" s="0" t="s">
        <v>7</v>
      </c>
      <c r="AB122" s="1" t="s">
        <v>5</v>
      </c>
      <c r="AC122" s="0" t="n">
        <v>6.226637</v>
      </c>
      <c r="AD122" s="0" t="s">
        <v>46</v>
      </c>
      <c r="AE122" s="1" t="s">
        <v>6</v>
      </c>
      <c r="AF122" s="0" t="n">
        <v>4.39763</v>
      </c>
      <c r="AG122" s="0" t="s">
        <v>224</v>
      </c>
      <c r="AH122" s="1" t="s">
        <v>6</v>
      </c>
      <c r="AI122" s="0" t="n">
        <v>4.440217</v>
      </c>
      <c r="AJ122" s="0" t="s">
        <v>9</v>
      </c>
      <c r="AK122" s="1" t="s">
        <v>5</v>
      </c>
      <c r="AL122" s="0" t="s">
        <v>11</v>
      </c>
      <c r="AM122" s="0" t="s">
        <v>2</v>
      </c>
      <c r="AN122" s="0" t="s">
        <v>3</v>
      </c>
      <c r="AO122" s="0" t="n">
        <v>5.087013</v>
      </c>
      <c r="AP122" s="0" t="n">
        <v>0</v>
      </c>
      <c r="AQ122" s="0" t="n">
        <v>0</v>
      </c>
      <c r="AS122" s="2" t="str">
        <f aca="false">IF(AND(G122="true",J122="true",M122="true",P122="true",S122="true"),"true","false")</f>
        <v>false</v>
      </c>
      <c r="AT122" s="0" t="str">
        <f aca="false">IF(AND(Y122="true",AB122="true",AE122="true",AH122="true",AK122="true"),"true","false")</f>
        <v>false</v>
      </c>
    </row>
    <row r="123" customFormat="false" ht="12.8" hidden="false" customHeight="false" outlineLevel="0" collapsed="false">
      <c r="A123" s="0" t="s">
        <v>225</v>
      </c>
      <c r="B123" s="0" t="s">
        <v>1</v>
      </c>
      <c r="C123" s="0" t="s">
        <v>2</v>
      </c>
      <c r="D123" s="0" t="s">
        <v>3</v>
      </c>
      <c r="E123" s="0" t="n">
        <v>17.153586</v>
      </c>
      <c r="F123" s="0" t="s">
        <v>4</v>
      </c>
      <c r="G123" s="1" t="s">
        <v>5</v>
      </c>
      <c r="H123" s="0" t="n">
        <v>14.945822</v>
      </c>
      <c r="I123" s="0" t="s">
        <v>7</v>
      </c>
      <c r="J123" s="1" t="s">
        <v>5</v>
      </c>
      <c r="K123" s="0" t="n">
        <v>12.9392</v>
      </c>
      <c r="L123" s="0" t="s">
        <v>4</v>
      </c>
      <c r="M123" s="1" t="s">
        <v>5</v>
      </c>
      <c r="N123" s="0" t="n">
        <v>21.352157</v>
      </c>
      <c r="O123" s="0" t="s">
        <v>8</v>
      </c>
      <c r="P123" s="1" t="s">
        <v>5</v>
      </c>
      <c r="Q123" s="0" t="n">
        <v>18.135899</v>
      </c>
      <c r="R123" s="0" t="s">
        <v>15</v>
      </c>
      <c r="S123" s="1" t="s">
        <v>6</v>
      </c>
      <c r="T123" s="0" t="s">
        <v>10</v>
      </c>
      <c r="U123" s="0" t="s">
        <v>11</v>
      </c>
      <c r="V123" s="0" t="s">
        <v>3</v>
      </c>
      <c r="W123" s="0" t="n">
        <v>10.598634</v>
      </c>
      <c r="Y123" s="1" t="s">
        <v>6</v>
      </c>
      <c r="Z123" s="0" t="n">
        <v>1.573629</v>
      </c>
      <c r="AB123" s="1" t="s">
        <v>6</v>
      </c>
      <c r="AC123" s="0" t="n">
        <v>1.20867</v>
      </c>
      <c r="AE123" s="1" t="s">
        <v>6</v>
      </c>
      <c r="AF123" s="0" t="n">
        <v>1.711137</v>
      </c>
      <c r="AH123" s="1" t="s">
        <v>6</v>
      </c>
      <c r="AI123" s="0" t="n">
        <v>2.032332</v>
      </c>
      <c r="AK123" s="1" t="s">
        <v>6</v>
      </c>
      <c r="AL123" s="0" t="s">
        <v>2</v>
      </c>
      <c r="AM123" s="0" t="s">
        <v>11</v>
      </c>
      <c r="AN123" s="0" t="s">
        <v>3</v>
      </c>
      <c r="AO123" s="0" t="n">
        <v>16.122345</v>
      </c>
      <c r="AP123" s="0" t="n">
        <v>1</v>
      </c>
      <c r="AQ123" s="0" t="n">
        <v>-1</v>
      </c>
      <c r="AS123" s="2" t="str">
        <f aca="false">IF(AND(G123="true",J123="true",M123="true",P123="true",S123="true"),"true","false")</f>
        <v>false</v>
      </c>
      <c r="AT123" s="0" t="str">
        <f aca="false">IF(AND(Y123="true",AB123="true",AE123="true",AH123="true",AK123="true"),"true","false")</f>
        <v>false</v>
      </c>
    </row>
    <row r="124" customFormat="false" ht="12.8" hidden="false" customHeight="false" outlineLevel="0" collapsed="false">
      <c r="A124" s="0" t="s">
        <v>226</v>
      </c>
      <c r="B124" s="0" t="s">
        <v>1</v>
      </c>
      <c r="C124" s="0" t="s">
        <v>2</v>
      </c>
      <c r="D124" s="0" t="s">
        <v>3</v>
      </c>
      <c r="E124" s="0" t="n">
        <v>21.576905</v>
      </c>
      <c r="F124" s="0" t="s">
        <v>4</v>
      </c>
      <c r="G124" s="1" t="s">
        <v>5</v>
      </c>
      <c r="H124" s="0" t="n">
        <v>12.407472</v>
      </c>
      <c r="I124" s="0" t="s">
        <v>7</v>
      </c>
      <c r="J124" s="1" t="s">
        <v>5</v>
      </c>
      <c r="K124" s="0" t="n">
        <v>17.21977</v>
      </c>
      <c r="L124" s="0" t="s">
        <v>4</v>
      </c>
      <c r="M124" s="1" t="s">
        <v>5</v>
      </c>
      <c r="N124" s="0" t="n">
        <v>21.286114</v>
      </c>
      <c r="O124" s="0" t="s">
        <v>8</v>
      </c>
      <c r="P124" s="1" t="s">
        <v>5</v>
      </c>
      <c r="Q124" s="0" t="n">
        <v>10.53732</v>
      </c>
      <c r="R124" s="0" t="s">
        <v>9</v>
      </c>
      <c r="S124" s="1" t="s">
        <v>6</v>
      </c>
      <c r="T124" s="0" t="s">
        <v>10</v>
      </c>
      <c r="U124" s="0" t="s">
        <v>11</v>
      </c>
      <c r="V124" s="0" t="s">
        <v>3</v>
      </c>
      <c r="W124" s="0" t="n">
        <v>47.673961</v>
      </c>
      <c r="X124" s="0" t="s">
        <v>100</v>
      </c>
      <c r="Y124" s="1" t="s">
        <v>6</v>
      </c>
      <c r="Z124" s="0" t="n">
        <v>55.926181</v>
      </c>
      <c r="AA124" s="0" t="s">
        <v>17</v>
      </c>
      <c r="AB124" s="1" t="s">
        <v>5</v>
      </c>
      <c r="AC124" s="0" t="n">
        <v>45.150508</v>
      </c>
      <c r="AD124" s="0" t="s">
        <v>100</v>
      </c>
      <c r="AE124" s="1" t="s">
        <v>6</v>
      </c>
      <c r="AF124" s="0" t="n">
        <v>15.982802</v>
      </c>
      <c r="AG124" s="0" t="s">
        <v>65</v>
      </c>
      <c r="AH124" s="1" t="s">
        <v>6</v>
      </c>
      <c r="AI124" s="0" t="n">
        <v>11.697742</v>
      </c>
      <c r="AJ124" s="0" t="s">
        <v>9</v>
      </c>
      <c r="AK124" s="1" t="s">
        <v>6</v>
      </c>
      <c r="AL124" s="0" t="s">
        <v>2</v>
      </c>
      <c r="AM124" s="0" t="s">
        <v>11</v>
      </c>
      <c r="AN124" s="0" t="s">
        <v>3</v>
      </c>
      <c r="AO124" s="0" t="n">
        <v>32.016906</v>
      </c>
      <c r="AP124" s="0" t="n">
        <v>2</v>
      </c>
      <c r="AQ124" s="0" t="n">
        <v>-1</v>
      </c>
      <c r="AS124" s="2" t="str">
        <f aca="false">IF(AND(G124="true",J124="true",M124="true",P124="true",S124="true"),"true","false")</f>
        <v>false</v>
      </c>
      <c r="AT124" s="0" t="str">
        <f aca="false">IF(AND(Y124="true",AB124="true",AE124="true",AH124="true",AK124="true"),"true","false")</f>
        <v>false</v>
      </c>
    </row>
    <row r="125" customFormat="false" ht="12.8" hidden="false" customHeight="false" outlineLevel="0" collapsed="false">
      <c r="A125" s="0" t="s">
        <v>227</v>
      </c>
      <c r="B125" s="0" t="s">
        <v>1</v>
      </c>
      <c r="C125" s="0" t="s">
        <v>2</v>
      </c>
      <c r="D125" s="0" t="s">
        <v>3</v>
      </c>
      <c r="E125" s="0" t="n">
        <v>55.596077</v>
      </c>
      <c r="F125" s="0" t="s">
        <v>4</v>
      </c>
      <c r="G125" s="1" t="s">
        <v>5</v>
      </c>
      <c r="H125" s="0" t="n">
        <v>6.213964</v>
      </c>
      <c r="I125" s="0" t="s">
        <v>7</v>
      </c>
      <c r="J125" s="1" t="s">
        <v>5</v>
      </c>
      <c r="K125" s="0" t="n">
        <v>3.947357</v>
      </c>
      <c r="L125" s="0" t="s">
        <v>4</v>
      </c>
      <c r="M125" s="1" t="s">
        <v>5</v>
      </c>
      <c r="N125" s="0" t="n">
        <v>34.117301</v>
      </c>
      <c r="O125" s="0" t="s">
        <v>8</v>
      </c>
      <c r="P125" s="1" t="s">
        <v>5</v>
      </c>
      <c r="Q125" s="0" t="n">
        <v>22.556705</v>
      </c>
      <c r="R125" s="0" t="s">
        <v>15</v>
      </c>
      <c r="S125" s="1" t="s">
        <v>6</v>
      </c>
      <c r="T125" s="0" t="s">
        <v>10</v>
      </c>
      <c r="U125" s="0" t="s">
        <v>11</v>
      </c>
      <c r="V125" s="0" t="s">
        <v>3</v>
      </c>
      <c r="W125" s="0" t="n">
        <v>7.614964</v>
      </c>
      <c r="Y125" s="1" t="s">
        <v>6</v>
      </c>
      <c r="Z125" s="0" t="n">
        <v>1.703157</v>
      </c>
      <c r="AB125" s="1" t="s">
        <v>6</v>
      </c>
      <c r="AC125" s="0" t="n">
        <v>0.955708</v>
      </c>
      <c r="AE125" s="1" t="s">
        <v>6</v>
      </c>
      <c r="AF125" s="0" t="n">
        <v>0.729749</v>
      </c>
      <c r="AH125" s="1" t="s">
        <v>6</v>
      </c>
      <c r="AI125" s="0" t="n">
        <v>0.574837</v>
      </c>
      <c r="AK125" s="1" t="s">
        <v>6</v>
      </c>
      <c r="AL125" s="0" t="s">
        <v>2</v>
      </c>
      <c r="AM125" s="0" t="s">
        <v>11</v>
      </c>
      <c r="AN125" s="0" t="s">
        <v>3</v>
      </c>
      <c r="AO125" s="0" t="n">
        <v>1.503056</v>
      </c>
      <c r="AS125" s="2" t="str">
        <f aca="false">IF(AND(G125="true",J125="true",M125="true",P125="true",S125="true"),"true","false")</f>
        <v>false</v>
      </c>
      <c r="AT125" s="0" t="str">
        <f aca="false">IF(AND(Y125="true",AB125="true",AE125="true",AH125="true",AK125="true"),"true","false")</f>
        <v>false</v>
      </c>
    </row>
    <row r="126" customFormat="false" ht="12.8" hidden="false" customHeight="false" outlineLevel="0" collapsed="false">
      <c r="A126" s="0" t="s">
        <v>228</v>
      </c>
      <c r="B126" s="0" t="s">
        <v>1</v>
      </c>
      <c r="C126" s="0" t="s">
        <v>2</v>
      </c>
      <c r="D126" s="0" t="s">
        <v>3</v>
      </c>
      <c r="E126" s="0" t="n">
        <v>16.81615</v>
      </c>
      <c r="F126" s="0" t="s">
        <v>4</v>
      </c>
      <c r="G126" s="1" t="s">
        <v>5</v>
      </c>
      <c r="H126" s="0" t="n">
        <v>16.144227</v>
      </c>
      <c r="I126" s="0" t="s">
        <v>7</v>
      </c>
      <c r="J126" s="1" t="s">
        <v>5</v>
      </c>
      <c r="K126" s="0" t="n">
        <v>12.196131</v>
      </c>
      <c r="L126" s="0" t="s">
        <v>4</v>
      </c>
      <c r="M126" s="1" t="s">
        <v>5</v>
      </c>
      <c r="N126" s="0" t="n">
        <v>24.135187</v>
      </c>
      <c r="O126" s="0" t="s">
        <v>8</v>
      </c>
      <c r="P126" s="1" t="s">
        <v>5</v>
      </c>
      <c r="Q126" s="0" t="n">
        <v>31.570626</v>
      </c>
      <c r="R126" s="0" t="s">
        <v>9</v>
      </c>
      <c r="S126" s="1" t="s">
        <v>6</v>
      </c>
      <c r="T126" s="0" t="s">
        <v>10</v>
      </c>
      <c r="U126" s="0" t="s">
        <v>11</v>
      </c>
      <c r="V126" s="0" t="s">
        <v>3</v>
      </c>
      <c r="W126" s="0" t="n">
        <v>44.28415</v>
      </c>
      <c r="X126" s="0" t="s">
        <v>100</v>
      </c>
      <c r="Y126" s="1" t="s">
        <v>6</v>
      </c>
      <c r="Z126" s="0" t="n">
        <v>26.573638</v>
      </c>
      <c r="AA126" s="0" t="s">
        <v>119</v>
      </c>
      <c r="AB126" s="1" t="s">
        <v>6</v>
      </c>
      <c r="AC126" s="0" t="n">
        <v>3.934525</v>
      </c>
      <c r="AD126" s="0" t="s">
        <v>12</v>
      </c>
      <c r="AE126" s="1" t="s">
        <v>5</v>
      </c>
      <c r="AF126" s="0" t="n">
        <v>17.615078</v>
      </c>
      <c r="AG126" s="0" t="s">
        <v>229</v>
      </c>
      <c r="AH126" s="1" t="s">
        <v>6</v>
      </c>
      <c r="AI126" s="0" t="n">
        <v>7.281494</v>
      </c>
      <c r="AJ126" s="0" t="s">
        <v>15</v>
      </c>
      <c r="AK126" s="1" t="s">
        <v>5</v>
      </c>
      <c r="AL126" s="0" t="s">
        <v>2</v>
      </c>
      <c r="AM126" s="0" t="s">
        <v>11</v>
      </c>
      <c r="AN126" s="0" t="s">
        <v>3</v>
      </c>
      <c r="AO126" s="0" t="n">
        <v>31.469884</v>
      </c>
      <c r="AS126" s="2" t="str">
        <f aca="false">IF(AND(G126="true",J126="true",M126="true",P126="true",S126="true"),"true","false")</f>
        <v>false</v>
      </c>
      <c r="AT126" s="0" t="str">
        <f aca="false">IF(AND(Y126="true",AB126="true",AE126="true",AH126="true",AK126="true"),"true","false")</f>
        <v>false</v>
      </c>
    </row>
    <row r="127" customFormat="false" ht="12.8" hidden="false" customHeight="false" outlineLevel="0" collapsed="false">
      <c r="A127" s="0" t="s">
        <v>230</v>
      </c>
      <c r="B127" s="0" t="s">
        <v>1</v>
      </c>
      <c r="C127" s="0" t="s">
        <v>11</v>
      </c>
      <c r="D127" s="0" t="s">
        <v>3</v>
      </c>
      <c r="E127" s="0" t="n">
        <v>44.588623</v>
      </c>
      <c r="F127" s="0" t="s">
        <v>21</v>
      </c>
      <c r="G127" s="1" t="s">
        <v>5</v>
      </c>
      <c r="H127" s="0" t="n">
        <v>8.203313</v>
      </c>
      <c r="I127" s="0" t="s">
        <v>17</v>
      </c>
      <c r="J127" s="1" t="s">
        <v>5</v>
      </c>
      <c r="K127" s="0" t="n">
        <v>6.911074</v>
      </c>
      <c r="L127" s="0" t="s">
        <v>12</v>
      </c>
      <c r="M127" s="1" t="s">
        <v>5</v>
      </c>
      <c r="N127" s="0" t="n">
        <v>52.604491</v>
      </c>
      <c r="O127" s="0" t="s">
        <v>19</v>
      </c>
      <c r="P127" s="1" t="s">
        <v>5</v>
      </c>
      <c r="Q127" s="0" t="n">
        <v>17.577937</v>
      </c>
      <c r="R127" s="0" t="s">
        <v>15</v>
      </c>
      <c r="S127" s="1" t="s">
        <v>6</v>
      </c>
      <c r="T127" s="0" t="s">
        <v>10</v>
      </c>
      <c r="U127" s="0" t="s">
        <v>2</v>
      </c>
      <c r="V127" s="0" t="s">
        <v>3</v>
      </c>
      <c r="W127" s="0" t="n">
        <v>24.046404</v>
      </c>
      <c r="X127" s="0" t="s">
        <v>4</v>
      </c>
      <c r="Y127" s="1" t="s">
        <v>5</v>
      </c>
      <c r="Z127" s="0" t="n">
        <v>23.475226</v>
      </c>
      <c r="AA127" s="0" t="s">
        <v>46</v>
      </c>
      <c r="AB127" s="1" t="s">
        <v>6</v>
      </c>
      <c r="AC127" s="0" t="n">
        <v>8.419207</v>
      </c>
      <c r="AD127" s="0" t="s">
        <v>7</v>
      </c>
      <c r="AE127" s="1" t="s">
        <v>6</v>
      </c>
      <c r="AF127" s="0" t="n">
        <v>24.912343</v>
      </c>
      <c r="AG127" s="0" t="s">
        <v>8</v>
      </c>
      <c r="AH127" s="1" t="s">
        <v>5</v>
      </c>
      <c r="AI127" s="0" t="n">
        <v>31.140055</v>
      </c>
      <c r="AJ127" s="0" t="s">
        <v>15</v>
      </c>
      <c r="AK127" s="1" t="s">
        <v>6</v>
      </c>
      <c r="AL127" s="0" t="s">
        <v>11</v>
      </c>
      <c r="AM127" s="0" t="s">
        <v>2</v>
      </c>
      <c r="AN127" s="0" t="s">
        <v>3</v>
      </c>
      <c r="AO127" s="0" t="n">
        <v>103.755161</v>
      </c>
      <c r="AP127" s="0" t="n">
        <v>2</v>
      </c>
      <c r="AQ127" s="0" t="n">
        <v>2</v>
      </c>
      <c r="AR127" s="0" t="s">
        <v>231</v>
      </c>
      <c r="AS127" s="2" t="str">
        <f aca="false">IF(AND(G127="true",J127="true",M127="true",P127="true",S127="true"),"true","false")</f>
        <v>false</v>
      </c>
      <c r="AT127" s="0" t="str">
        <f aca="false">IF(AND(Y127="true",AB127="true",AE127="true",AH127="true",AK127="true"),"true","false")</f>
        <v>false</v>
      </c>
    </row>
    <row r="128" customFormat="false" ht="12.8" hidden="false" customHeight="false" outlineLevel="0" collapsed="false">
      <c r="A128" s="0" t="s">
        <v>232</v>
      </c>
      <c r="B128" s="0" t="s">
        <v>1</v>
      </c>
      <c r="C128" s="0" t="s">
        <v>11</v>
      </c>
      <c r="D128" s="0" t="s">
        <v>3</v>
      </c>
      <c r="E128" s="0" t="n">
        <v>44.361229</v>
      </c>
      <c r="F128" s="0" t="s">
        <v>12</v>
      </c>
      <c r="G128" s="1" t="s">
        <v>6</v>
      </c>
      <c r="H128" s="0" t="n">
        <v>11.643533</v>
      </c>
      <c r="I128" s="0" t="s">
        <v>17</v>
      </c>
      <c r="J128" s="1" t="s">
        <v>5</v>
      </c>
      <c r="K128" s="0" t="n">
        <v>8.520266</v>
      </c>
      <c r="L128" s="0" t="s">
        <v>12</v>
      </c>
      <c r="M128" s="1" t="s">
        <v>5</v>
      </c>
      <c r="N128" s="0" t="n">
        <v>34.603085</v>
      </c>
      <c r="O128" s="0" t="s">
        <v>22</v>
      </c>
      <c r="P128" s="1" t="s">
        <v>6</v>
      </c>
      <c r="Q128" s="0" t="n">
        <v>19.015138</v>
      </c>
      <c r="R128" s="0" t="s">
        <v>9</v>
      </c>
      <c r="S128" s="1" t="s">
        <v>6</v>
      </c>
      <c r="T128" s="0" t="s">
        <v>10</v>
      </c>
      <c r="U128" s="0" t="s">
        <v>2</v>
      </c>
      <c r="V128" s="0" t="s">
        <v>3</v>
      </c>
      <c r="W128" s="0" t="n">
        <v>20.616919</v>
      </c>
      <c r="X128" s="0" t="s">
        <v>132</v>
      </c>
      <c r="Y128" s="1" t="s">
        <v>6</v>
      </c>
      <c r="Z128" s="0" t="n">
        <v>9.599262</v>
      </c>
      <c r="AA128" s="0" t="s">
        <v>7</v>
      </c>
      <c r="AB128" s="1" t="s">
        <v>5</v>
      </c>
      <c r="AC128" s="0" t="n">
        <v>9.046624</v>
      </c>
      <c r="AD128" s="0" t="s">
        <v>81</v>
      </c>
      <c r="AE128" s="1" t="s">
        <v>6</v>
      </c>
      <c r="AF128" s="0" t="n">
        <v>80.328975</v>
      </c>
      <c r="AG128" s="0" t="s">
        <v>224</v>
      </c>
      <c r="AH128" s="1" t="s">
        <v>6</v>
      </c>
      <c r="AI128" s="0" t="n">
        <v>8.865201</v>
      </c>
      <c r="AJ128" s="0" t="s">
        <v>15</v>
      </c>
      <c r="AK128" s="1" t="s">
        <v>6</v>
      </c>
      <c r="AL128" s="0" t="s">
        <v>11</v>
      </c>
      <c r="AM128" s="0" t="s">
        <v>2</v>
      </c>
      <c r="AN128" s="0" t="s">
        <v>3</v>
      </c>
      <c r="AO128" s="0" t="n">
        <v>26.821981</v>
      </c>
      <c r="AP128" s="0" t="n">
        <v>2</v>
      </c>
      <c r="AQ128" s="0" t="n">
        <v>0</v>
      </c>
      <c r="AR128" s="0" t="s">
        <v>233</v>
      </c>
      <c r="AS128" s="2" t="str">
        <f aca="false">IF(AND(G128="true",J128="true",M128="true",P128="true",S128="true"),"true","false")</f>
        <v>false</v>
      </c>
      <c r="AT128" s="0" t="str">
        <f aca="false">IF(AND(Y128="true",AB128="true",AE128="true",AH128="true",AK128="true"),"true","false")</f>
        <v>false</v>
      </c>
    </row>
    <row r="129" customFormat="false" ht="12.8" hidden="false" customHeight="false" outlineLevel="0" collapsed="false">
      <c r="A129" s="0" t="s">
        <v>234</v>
      </c>
      <c r="B129" s="0" t="s">
        <v>1</v>
      </c>
      <c r="C129" s="0" t="s">
        <v>11</v>
      </c>
      <c r="D129" s="0" t="s">
        <v>3</v>
      </c>
      <c r="E129" s="0" t="n">
        <v>31.162825</v>
      </c>
      <c r="F129" s="0" t="s">
        <v>21</v>
      </c>
      <c r="G129" s="1" t="s">
        <v>5</v>
      </c>
      <c r="H129" s="0" t="n">
        <v>21.975458</v>
      </c>
      <c r="I129" s="0" t="s">
        <v>17</v>
      </c>
      <c r="J129" s="1" t="s">
        <v>5</v>
      </c>
      <c r="K129" s="0" t="n">
        <v>41.077353</v>
      </c>
      <c r="L129" s="0" t="s">
        <v>12</v>
      </c>
      <c r="M129" s="1" t="s">
        <v>5</v>
      </c>
      <c r="N129" s="0" t="n">
        <v>35.03304</v>
      </c>
      <c r="O129" s="0" t="s">
        <v>22</v>
      </c>
      <c r="P129" s="1" t="s">
        <v>6</v>
      </c>
      <c r="Q129" s="0" t="n">
        <v>23.764907</v>
      </c>
      <c r="R129" s="0" t="s">
        <v>15</v>
      </c>
      <c r="S129" s="1" t="s">
        <v>6</v>
      </c>
      <c r="T129" s="0" t="s">
        <v>10</v>
      </c>
      <c r="U129" s="0" t="s">
        <v>2</v>
      </c>
      <c r="V129" s="0" t="s">
        <v>3</v>
      </c>
      <c r="W129" s="0" t="n">
        <v>24.011904</v>
      </c>
      <c r="X129" s="0" t="s">
        <v>40</v>
      </c>
      <c r="Y129" s="1" t="s">
        <v>6</v>
      </c>
      <c r="Z129" s="0" t="n">
        <v>15.970527</v>
      </c>
      <c r="AA129" s="0" t="s">
        <v>81</v>
      </c>
      <c r="AB129" s="1" t="s">
        <v>6</v>
      </c>
      <c r="AC129" s="0" t="n">
        <v>15.836977</v>
      </c>
      <c r="AD129" s="0" t="s">
        <v>82</v>
      </c>
      <c r="AE129" s="1" t="s">
        <v>6</v>
      </c>
      <c r="AF129" s="0" t="n">
        <v>24.067365</v>
      </c>
      <c r="AG129" s="0" t="s">
        <v>8</v>
      </c>
      <c r="AH129" s="1" t="s">
        <v>5</v>
      </c>
      <c r="AI129" s="0" t="n">
        <v>9.34438</v>
      </c>
      <c r="AJ129" s="0" t="s">
        <v>15</v>
      </c>
      <c r="AK129" s="1" t="s">
        <v>6</v>
      </c>
      <c r="AL129" s="0" t="s">
        <v>11</v>
      </c>
      <c r="AM129" s="0" t="s">
        <v>2</v>
      </c>
      <c r="AN129" s="0" t="s">
        <v>3</v>
      </c>
      <c r="AO129" s="0" t="n">
        <v>19.606882</v>
      </c>
      <c r="AP129" s="0" t="n">
        <v>1</v>
      </c>
      <c r="AQ129" s="0" t="n">
        <v>2</v>
      </c>
      <c r="AS129" s="2" t="str">
        <f aca="false">IF(AND(G129="true",J129="true",M129="true",P129="true",S129="true"),"true","false")</f>
        <v>false</v>
      </c>
      <c r="AT129" s="0" t="str">
        <f aca="false">IF(AND(Y129="true",AB129="true",AE129="true",AH129="true",AK129="true"),"true","false")</f>
        <v>false</v>
      </c>
    </row>
    <row r="130" customFormat="false" ht="12.8" hidden="false" customHeight="false" outlineLevel="0" collapsed="false">
      <c r="A130" s="0" t="s">
        <v>235</v>
      </c>
      <c r="B130" s="0" t="s">
        <v>1</v>
      </c>
      <c r="C130" s="0" t="s">
        <v>2</v>
      </c>
      <c r="D130" s="0" t="s">
        <v>3</v>
      </c>
      <c r="E130" s="0" t="n">
        <v>18.767359</v>
      </c>
      <c r="F130" s="0" t="s">
        <v>4</v>
      </c>
      <c r="G130" s="1" t="s">
        <v>5</v>
      </c>
      <c r="H130" s="0" t="n">
        <v>12.22917</v>
      </c>
      <c r="I130" s="0" t="s">
        <v>7</v>
      </c>
      <c r="J130" s="1" t="s">
        <v>5</v>
      </c>
      <c r="K130" s="0" t="n">
        <v>5.531507</v>
      </c>
      <c r="L130" s="0" t="s">
        <v>4</v>
      </c>
      <c r="M130" s="1" t="s">
        <v>5</v>
      </c>
      <c r="N130" s="0" t="n">
        <v>16.03949</v>
      </c>
      <c r="O130" s="0" t="s">
        <v>8</v>
      </c>
      <c r="P130" s="1" t="s">
        <v>5</v>
      </c>
      <c r="Q130" s="0" t="n">
        <v>14.91523</v>
      </c>
      <c r="R130" s="0" t="s">
        <v>9</v>
      </c>
      <c r="S130" s="1" t="s">
        <v>6</v>
      </c>
      <c r="T130" s="0" t="s">
        <v>10</v>
      </c>
      <c r="U130" s="0" t="s">
        <v>11</v>
      </c>
      <c r="V130" s="0" t="s">
        <v>3</v>
      </c>
      <c r="W130" s="0" t="n">
        <v>15.447502</v>
      </c>
      <c r="X130" s="0" t="s">
        <v>21</v>
      </c>
      <c r="Y130" s="1" t="s">
        <v>5</v>
      </c>
      <c r="Z130" s="0" t="n">
        <v>8.150467</v>
      </c>
      <c r="AA130" s="0" t="s">
        <v>17</v>
      </c>
      <c r="AB130" s="1" t="s">
        <v>5</v>
      </c>
      <c r="AC130" s="0" t="n">
        <v>7.926447</v>
      </c>
      <c r="AD130" s="0" t="s">
        <v>12</v>
      </c>
      <c r="AE130" s="1" t="s">
        <v>5</v>
      </c>
      <c r="AF130" s="0" t="n">
        <v>23.973043</v>
      </c>
      <c r="AG130" s="0" t="s">
        <v>22</v>
      </c>
      <c r="AH130" s="1" t="s">
        <v>6</v>
      </c>
      <c r="AI130" s="0" t="n">
        <v>7.269531</v>
      </c>
      <c r="AJ130" s="0" t="s">
        <v>15</v>
      </c>
      <c r="AK130" s="1" t="s">
        <v>5</v>
      </c>
      <c r="AL130" s="0" t="s">
        <v>2</v>
      </c>
      <c r="AM130" s="0" t="s">
        <v>11</v>
      </c>
      <c r="AN130" s="0" t="s">
        <v>3</v>
      </c>
      <c r="AO130" s="0" t="n">
        <v>21.848541</v>
      </c>
      <c r="AP130" s="0" t="n">
        <v>1</v>
      </c>
      <c r="AQ130" s="0" t="n">
        <v>2</v>
      </c>
      <c r="AS130" s="2" t="str">
        <f aca="false">IF(AND(G130="true",J130="true",M130="true",P130="true",S130="true"),"true","false")</f>
        <v>false</v>
      </c>
      <c r="AT130" s="0" t="str">
        <f aca="false">IF(AND(Y130="true",AB130="true",AE130="true",AH130="true",AK130="true"),"true","false")</f>
        <v>false</v>
      </c>
    </row>
    <row r="131" customFormat="false" ht="12.8" hidden="false" customHeight="false" outlineLevel="0" collapsed="false">
      <c r="A131" s="0" t="s">
        <v>236</v>
      </c>
      <c r="B131" s="0" t="s">
        <v>1</v>
      </c>
      <c r="C131" s="0" t="s">
        <v>2</v>
      </c>
      <c r="D131" s="0" t="s">
        <v>3</v>
      </c>
      <c r="E131" s="0" t="n">
        <v>74.996581</v>
      </c>
      <c r="F131" s="0" t="s">
        <v>4</v>
      </c>
      <c r="G131" s="1" t="s">
        <v>5</v>
      </c>
      <c r="H131" s="0" t="n">
        <v>31.520453</v>
      </c>
      <c r="I131" s="0" t="s">
        <v>7</v>
      </c>
      <c r="J131" s="1" t="s">
        <v>5</v>
      </c>
      <c r="K131" s="0" t="n">
        <v>14.362821</v>
      </c>
      <c r="L131" s="0" t="s">
        <v>4</v>
      </c>
      <c r="M131" s="1" t="s">
        <v>5</v>
      </c>
      <c r="N131" s="0" t="n">
        <v>100.816388</v>
      </c>
      <c r="O131" s="0" t="s">
        <v>8</v>
      </c>
      <c r="P131" s="1" t="s">
        <v>5</v>
      </c>
      <c r="Q131" s="0" t="n">
        <v>47.694546</v>
      </c>
      <c r="R131" s="0" t="s">
        <v>9</v>
      </c>
      <c r="S131" s="1" t="s">
        <v>6</v>
      </c>
      <c r="T131" s="0" t="s">
        <v>10</v>
      </c>
      <c r="U131" s="0" t="s">
        <v>11</v>
      </c>
      <c r="V131" s="0" t="s">
        <v>3</v>
      </c>
      <c r="W131" s="0" t="n">
        <v>4.87311</v>
      </c>
      <c r="Y131" s="1" t="s">
        <v>6</v>
      </c>
      <c r="Z131" s="0" t="n">
        <v>0.765638</v>
      </c>
      <c r="AB131" s="1" t="s">
        <v>6</v>
      </c>
      <c r="AC131" s="0" t="n">
        <v>0.474549</v>
      </c>
      <c r="AE131" s="1" t="s">
        <v>6</v>
      </c>
      <c r="AF131" s="0" t="n">
        <v>0.421015</v>
      </c>
      <c r="AH131" s="1" t="s">
        <v>6</v>
      </c>
      <c r="AI131" s="0" t="n">
        <v>2.307856</v>
      </c>
      <c r="AK131" s="1" t="s">
        <v>6</v>
      </c>
      <c r="AL131" s="0" t="s">
        <v>2</v>
      </c>
      <c r="AM131" s="0" t="s">
        <v>11</v>
      </c>
      <c r="AN131" s="0" t="s">
        <v>3</v>
      </c>
      <c r="AO131" s="0" t="n">
        <v>29.393428</v>
      </c>
      <c r="AP131" s="0" t="n">
        <v>-1</v>
      </c>
      <c r="AQ131" s="0" t="n">
        <v>2</v>
      </c>
      <c r="AS131" s="2" t="str">
        <f aca="false">IF(AND(G131="true",J131="true",M131="true",P131="true",S131="true"),"true","false")</f>
        <v>false</v>
      </c>
      <c r="AT131" s="0" t="str">
        <f aca="false">IF(AND(Y131="true",AB131="true",AE131="true",AH131="true",AK131="true"),"true","false")</f>
        <v>false</v>
      </c>
    </row>
    <row r="132" customFormat="false" ht="12.8" hidden="false" customHeight="false" outlineLevel="0" collapsed="false">
      <c r="A132" s="0" t="s">
        <v>237</v>
      </c>
      <c r="B132" s="0" t="s">
        <v>1</v>
      </c>
      <c r="C132" s="0" t="s">
        <v>2</v>
      </c>
      <c r="D132" s="0" t="s">
        <v>3</v>
      </c>
      <c r="E132" s="0" t="n">
        <v>50.168293</v>
      </c>
      <c r="F132" s="0" t="s">
        <v>4</v>
      </c>
      <c r="G132" s="1" t="s">
        <v>5</v>
      </c>
      <c r="H132" s="0" t="n">
        <v>17.435658</v>
      </c>
      <c r="I132" s="0" t="s">
        <v>7</v>
      </c>
      <c r="J132" s="1" t="s">
        <v>5</v>
      </c>
      <c r="K132" s="0" t="n">
        <v>6.628941</v>
      </c>
      <c r="L132" s="0" t="s">
        <v>4</v>
      </c>
      <c r="M132" s="1" t="s">
        <v>5</v>
      </c>
      <c r="N132" s="0" t="n">
        <v>27.786611</v>
      </c>
      <c r="O132" s="0" t="s">
        <v>8</v>
      </c>
      <c r="P132" s="1" t="s">
        <v>5</v>
      </c>
      <c r="Q132" s="0" t="n">
        <v>21.801372</v>
      </c>
      <c r="R132" s="0" t="s">
        <v>15</v>
      </c>
      <c r="S132" s="1" t="s">
        <v>6</v>
      </c>
      <c r="T132" s="0" t="s">
        <v>10</v>
      </c>
      <c r="U132" s="0" t="s">
        <v>11</v>
      </c>
      <c r="V132" s="0" t="s">
        <v>3</v>
      </c>
      <c r="W132" s="0" t="n">
        <v>30.482716</v>
      </c>
      <c r="Y132" s="1" t="s">
        <v>6</v>
      </c>
      <c r="Z132" s="0" t="n">
        <v>0.844146</v>
      </c>
      <c r="AB132" s="1" t="s">
        <v>6</v>
      </c>
      <c r="AC132" s="0" t="n">
        <v>0.632856</v>
      </c>
      <c r="AE132" s="1" t="s">
        <v>6</v>
      </c>
      <c r="AF132" s="0" t="n">
        <v>0.642111</v>
      </c>
      <c r="AH132" s="1" t="s">
        <v>6</v>
      </c>
      <c r="AI132" s="0" t="n">
        <v>5.382985</v>
      </c>
      <c r="AK132" s="1" t="s">
        <v>6</v>
      </c>
      <c r="AL132" s="0" t="s">
        <v>2</v>
      </c>
      <c r="AM132" s="0" t="s">
        <v>11</v>
      </c>
      <c r="AN132" s="0" t="s">
        <v>3</v>
      </c>
      <c r="AO132" s="0" t="n">
        <v>33.891176</v>
      </c>
      <c r="AP132" s="0" t="n">
        <v>1</v>
      </c>
      <c r="AQ132" s="0" t="n">
        <v>0</v>
      </c>
      <c r="AR132" s="0" t="s">
        <v>238</v>
      </c>
      <c r="AS132" s="2" t="str">
        <f aca="false">IF(AND(G132="true",J132="true",M132="true",P132="true",S132="true"),"true","false")</f>
        <v>false</v>
      </c>
      <c r="AT132" s="0" t="str">
        <f aca="false">IF(AND(Y132="true",AB132="true",AE132="true",AH132="true",AK132="true"),"true","false")</f>
        <v>false</v>
      </c>
    </row>
    <row r="133" customFormat="false" ht="12.8" hidden="false" customHeight="false" outlineLevel="0" collapsed="false">
      <c r="A133" s="0" t="s">
        <v>239</v>
      </c>
      <c r="B133" s="0" t="s">
        <v>1</v>
      </c>
      <c r="C133" s="0" t="s">
        <v>11</v>
      </c>
      <c r="D133" s="0" t="s">
        <v>3</v>
      </c>
      <c r="E133" s="0" t="n">
        <v>100.544136</v>
      </c>
      <c r="F133" s="0" t="s">
        <v>240</v>
      </c>
      <c r="G133" s="1" t="s">
        <v>6</v>
      </c>
      <c r="H133" s="0" t="n">
        <v>16.655848</v>
      </c>
      <c r="I133" s="0" t="s">
        <v>12</v>
      </c>
      <c r="J133" s="1" t="s">
        <v>6</v>
      </c>
      <c r="K133" s="0" t="n">
        <v>24.991178</v>
      </c>
      <c r="L133" s="0" t="s">
        <v>12</v>
      </c>
      <c r="M133" s="1" t="s">
        <v>5</v>
      </c>
      <c r="N133" s="0" t="n">
        <v>31.265418</v>
      </c>
      <c r="O133" s="0" t="s">
        <v>19</v>
      </c>
      <c r="P133" s="1" t="s">
        <v>5</v>
      </c>
      <c r="Q133" s="0" t="n">
        <v>32.449163</v>
      </c>
      <c r="R133" s="0" t="s">
        <v>9</v>
      </c>
      <c r="S133" s="1" t="s">
        <v>6</v>
      </c>
      <c r="T133" s="0" t="s">
        <v>10</v>
      </c>
      <c r="U133" s="0" t="s">
        <v>2</v>
      </c>
      <c r="V133" s="0" t="s">
        <v>3</v>
      </c>
      <c r="W133" s="0" t="n">
        <v>54.660563</v>
      </c>
      <c r="X133" s="0" t="s">
        <v>4</v>
      </c>
      <c r="Y133" s="1" t="s">
        <v>5</v>
      </c>
      <c r="Z133" s="0" t="n">
        <v>16.538726</v>
      </c>
      <c r="AA133" s="0" t="s">
        <v>7</v>
      </c>
      <c r="AB133" s="1" t="s">
        <v>5</v>
      </c>
      <c r="AC133" s="0" t="n">
        <v>29.580005</v>
      </c>
      <c r="AD133" s="0" t="s">
        <v>4</v>
      </c>
      <c r="AE133" s="1" t="s">
        <v>5</v>
      </c>
      <c r="AF133" s="0" t="n">
        <v>30.736699</v>
      </c>
      <c r="AG133" s="0" t="s">
        <v>8</v>
      </c>
      <c r="AH133" s="1" t="s">
        <v>5</v>
      </c>
      <c r="AI133" s="0" t="n">
        <v>37.514136</v>
      </c>
      <c r="AJ133" s="0" t="s">
        <v>15</v>
      </c>
      <c r="AK133" s="1" t="s">
        <v>6</v>
      </c>
      <c r="AL133" s="0" t="s">
        <v>11</v>
      </c>
      <c r="AM133" s="0" t="s">
        <v>2</v>
      </c>
      <c r="AN133" s="0" t="s">
        <v>3</v>
      </c>
      <c r="AO133" s="0" t="n">
        <v>29.231635</v>
      </c>
      <c r="AP133" s="0" t="n">
        <v>1</v>
      </c>
      <c r="AQ133" s="0" t="n">
        <v>2</v>
      </c>
      <c r="AR133" s="0" t="s">
        <v>241</v>
      </c>
      <c r="AS133" s="2" t="str">
        <f aca="false">IF(AND(G133="true",J133="true",M133="true",P133="true",S133="true"),"true","false")</f>
        <v>false</v>
      </c>
      <c r="AT133" s="0" t="str">
        <f aca="false">IF(AND(Y133="true",AB133="true",AE133="true",AH133="true",AK133="true"),"true","false")</f>
        <v>false</v>
      </c>
    </row>
    <row r="134" customFormat="false" ht="12.8" hidden="false" customHeight="false" outlineLevel="0" collapsed="false">
      <c r="A134" s="0" t="s">
        <v>242</v>
      </c>
      <c r="B134" s="0" t="s">
        <v>1</v>
      </c>
      <c r="C134" s="0" t="s">
        <v>11</v>
      </c>
      <c r="D134" s="0" t="s">
        <v>3</v>
      </c>
      <c r="E134" s="0" t="n">
        <v>15.992137</v>
      </c>
      <c r="F134" s="0" t="s">
        <v>21</v>
      </c>
      <c r="G134" s="1" t="s">
        <v>5</v>
      </c>
      <c r="H134" s="0" t="n">
        <v>10.101691</v>
      </c>
      <c r="I134" s="0" t="s">
        <v>17</v>
      </c>
      <c r="J134" s="1" t="s">
        <v>5</v>
      </c>
      <c r="K134" s="0" t="n">
        <v>6.770533</v>
      </c>
      <c r="L134" s="0" t="s">
        <v>12</v>
      </c>
      <c r="M134" s="1" t="s">
        <v>5</v>
      </c>
      <c r="N134" s="0" t="n">
        <v>46.690692</v>
      </c>
      <c r="O134" s="0" t="s">
        <v>22</v>
      </c>
      <c r="P134" s="1" t="s">
        <v>6</v>
      </c>
      <c r="Q134" s="0" t="n">
        <v>28.884665</v>
      </c>
      <c r="R134" s="0" t="s">
        <v>15</v>
      </c>
      <c r="S134" s="1" t="s">
        <v>6</v>
      </c>
      <c r="T134" s="0" t="s">
        <v>10</v>
      </c>
      <c r="U134" s="0" t="s">
        <v>2</v>
      </c>
      <c r="V134" s="0" t="s">
        <v>3</v>
      </c>
      <c r="W134" s="0" t="n">
        <v>78.574977</v>
      </c>
      <c r="X134" s="0" t="s">
        <v>82</v>
      </c>
      <c r="Y134" s="1" t="s">
        <v>6</v>
      </c>
      <c r="Z134" s="0" t="n">
        <v>44.170854</v>
      </c>
      <c r="AA134" s="0" t="s">
        <v>28</v>
      </c>
      <c r="AB134" s="1" t="s">
        <v>6</v>
      </c>
      <c r="AC134" s="0" t="n">
        <v>12.560572</v>
      </c>
      <c r="AD134" s="0" t="s">
        <v>46</v>
      </c>
      <c r="AE134" s="1" t="s">
        <v>6</v>
      </c>
      <c r="AF134" s="0" t="n">
        <v>32.985786</v>
      </c>
      <c r="AG134" s="0" t="s">
        <v>62</v>
      </c>
      <c r="AH134" s="1" t="s">
        <v>6</v>
      </c>
      <c r="AI134" s="0" t="n">
        <v>17.812718</v>
      </c>
      <c r="AJ134" s="0" t="s">
        <v>9</v>
      </c>
      <c r="AK134" s="1" t="s">
        <v>5</v>
      </c>
      <c r="AL134" s="0" t="s">
        <v>11</v>
      </c>
      <c r="AM134" s="0" t="s">
        <v>2</v>
      </c>
      <c r="AN134" s="0" t="s">
        <v>3</v>
      </c>
      <c r="AO134" s="0" t="n">
        <v>14.336798</v>
      </c>
      <c r="AP134" s="0" t="n">
        <v>1</v>
      </c>
      <c r="AQ134" s="0" t="n">
        <v>-2</v>
      </c>
      <c r="AS134" s="2" t="str">
        <f aca="false">IF(AND(G134="true",J134="true",M134="true",P134="true",S134="true"),"true","false")</f>
        <v>false</v>
      </c>
      <c r="AT134" s="0" t="str">
        <f aca="false">IF(AND(Y134="true",AB134="true",AE134="true",AH134="true",AK134="true"),"true","false")</f>
        <v>false</v>
      </c>
    </row>
    <row r="135" customFormat="false" ht="12.8" hidden="false" customHeight="false" outlineLevel="0" collapsed="false">
      <c r="A135" s="0" t="s">
        <v>243</v>
      </c>
      <c r="B135" s="0" t="s">
        <v>1</v>
      </c>
      <c r="C135" s="0" t="s">
        <v>2</v>
      </c>
      <c r="D135" s="0" t="s">
        <v>3</v>
      </c>
      <c r="E135" s="0" t="n">
        <v>103.793356</v>
      </c>
      <c r="F135" s="0" t="s">
        <v>4</v>
      </c>
      <c r="G135" s="1" t="s">
        <v>5</v>
      </c>
      <c r="H135" s="0" t="n">
        <v>20.684484</v>
      </c>
      <c r="I135" s="0" t="s">
        <v>7</v>
      </c>
      <c r="J135" s="1" t="s">
        <v>5</v>
      </c>
      <c r="K135" s="0" t="n">
        <v>9.493131</v>
      </c>
      <c r="L135" s="0" t="s">
        <v>4</v>
      </c>
      <c r="M135" s="1" t="s">
        <v>5</v>
      </c>
      <c r="N135" s="0" t="n">
        <v>24.676148</v>
      </c>
      <c r="O135" s="0" t="s">
        <v>8</v>
      </c>
      <c r="P135" s="1" t="s">
        <v>5</v>
      </c>
      <c r="Q135" s="0" t="n">
        <v>35.039951</v>
      </c>
      <c r="R135" s="0" t="s">
        <v>15</v>
      </c>
      <c r="S135" s="1" t="s">
        <v>6</v>
      </c>
      <c r="T135" s="0" t="s">
        <v>10</v>
      </c>
      <c r="U135" s="0" t="s">
        <v>11</v>
      </c>
      <c r="V135" s="0" t="s">
        <v>3</v>
      </c>
      <c r="W135" s="0" t="n">
        <v>24.421516</v>
      </c>
      <c r="Y135" s="1" t="s">
        <v>6</v>
      </c>
      <c r="Z135" s="0" t="n">
        <v>5.148084</v>
      </c>
      <c r="AA135" s="0" t="s">
        <v>17</v>
      </c>
      <c r="AB135" s="1" t="s">
        <v>5</v>
      </c>
      <c r="AC135" s="0" t="n">
        <v>1.60008</v>
      </c>
      <c r="AD135" s="0" t="s">
        <v>17</v>
      </c>
      <c r="AE135" s="1" t="s">
        <v>6</v>
      </c>
      <c r="AF135" s="0" t="n">
        <v>1.644371</v>
      </c>
      <c r="AG135" s="0" t="s">
        <v>47</v>
      </c>
      <c r="AH135" s="1" t="s">
        <v>6</v>
      </c>
      <c r="AI135" s="0" t="n">
        <v>3.596598</v>
      </c>
      <c r="AJ135" s="0" t="s">
        <v>51</v>
      </c>
      <c r="AK135" s="1" t="s">
        <v>6</v>
      </c>
      <c r="AL135" s="0" t="s">
        <v>2</v>
      </c>
      <c r="AM135" s="0" t="s">
        <v>11</v>
      </c>
      <c r="AN135" s="0" t="s">
        <v>3</v>
      </c>
      <c r="AO135" s="0" t="n">
        <v>12.932651</v>
      </c>
      <c r="AP135" s="0" t="n">
        <v>-1</v>
      </c>
      <c r="AQ135" s="0" t="n">
        <v>-1</v>
      </c>
      <c r="AS135" s="2" t="str">
        <f aca="false">IF(AND(G135="true",J135="true",M135="true",P135="true",S135="true"),"true","false")</f>
        <v>false</v>
      </c>
      <c r="AT135" s="0" t="str">
        <f aca="false">IF(AND(Y135="true",AB135="true",AE135="true",AH135="true",AK135="true"),"true","false")</f>
        <v>false</v>
      </c>
    </row>
    <row r="136" customFormat="false" ht="12.8" hidden="false" customHeight="false" outlineLevel="0" collapsed="false">
      <c r="A136" s="0" t="s">
        <v>244</v>
      </c>
      <c r="B136" s="0" t="s">
        <v>1</v>
      </c>
      <c r="C136" s="0" t="s">
        <v>2</v>
      </c>
      <c r="D136" s="0" t="s">
        <v>3</v>
      </c>
      <c r="E136" s="0" t="n">
        <v>45.988452</v>
      </c>
      <c r="F136" s="0" t="s">
        <v>7</v>
      </c>
      <c r="G136" s="1" t="s">
        <v>6</v>
      </c>
      <c r="H136" s="0" t="n">
        <v>27.041001</v>
      </c>
      <c r="I136" s="0" t="s">
        <v>7</v>
      </c>
      <c r="J136" s="1" t="s">
        <v>5</v>
      </c>
      <c r="K136" s="0" t="n">
        <v>7.917572</v>
      </c>
      <c r="L136" s="0" t="s">
        <v>4</v>
      </c>
      <c r="M136" s="1" t="s">
        <v>5</v>
      </c>
      <c r="N136" s="0" t="n">
        <v>41.652131</v>
      </c>
      <c r="O136" s="0" t="s">
        <v>8</v>
      </c>
      <c r="P136" s="1" t="s">
        <v>5</v>
      </c>
      <c r="Q136" s="0" t="n">
        <v>105.844189</v>
      </c>
      <c r="R136" s="0" t="s">
        <v>15</v>
      </c>
      <c r="S136" s="1" t="s">
        <v>6</v>
      </c>
      <c r="T136" s="0" t="s">
        <v>10</v>
      </c>
      <c r="U136" s="0" t="s">
        <v>11</v>
      </c>
      <c r="V136" s="0" t="s">
        <v>3</v>
      </c>
      <c r="W136" s="0" t="n">
        <v>61.431653</v>
      </c>
      <c r="Y136" s="1" t="s">
        <v>6</v>
      </c>
      <c r="Z136" s="0" t="n">
        <v>0.650085</v>
      </c>
      <c r="AB136" s="1" t="s">
        <v>6</v>
      </c>
      <c r="AC136" s="0" t="n">
        <v>0.517973</v>
      </c>
      <c r="AE136" s="1" t="s">
        <v>6</v>
      </c>
      <c r="AF136" s="0" t="n">
        <v>0.463278</v>
      </c>
      <c r="AH136" s="1" t="s">
        <v>6</v>
      </c>
      <c r="AI136" s="0" t="n">
        <v>1.140561</v>
      </c>
      <c r="AJ136" s="0" t="s">
        <v>51</v>
      </c>
      <c r="AK136" s="1" t="s">
        <v>6</v>
      </c>
      <c r="AL136" s="0" t="s">
        <v>2</v>
      </c>
      <c r="AM136" s="0" t="s">
        <v>11</v>
      </c>
      <c r="AN136" s="0" t="s">
        <v>3</v>
      </c>
      <c r="AO136" s="0" t="n">
        <v>2.523787</v>
      </c>
      <c r="AS136" s="2" t="str">
        <f aca="false">IF(AND(G136="true",J136="true",M136="true",P136="true",S136="true"),"true","false")</f>
        <v>false</v>
      </c>
      <c r="AT136" s="0" t="str">
        <f aca="false">IF(AND(Y136="true",AB136="true",AE136="true",AH136="true",AK136="true"),"true","false")</f>
        <v>false</v>
      </c>
    </row>
    <row r="137" customFormat="false" ht="12.8" hidden="false" customHeight="false" outlineLevel="0" collapsed="false">
      <c r="A137" s="0" t="s">
        <v>245</v>
      </c>
      <c r="B137" s="0" t="s">
        <v>1</v>
      </c>
      <c r="C137" s="0" t="s">
        <v>11</v>
      </c>
      <c r="D137" s="0" t="s">
        <v>3</v>
      </c>
      <c r="E137" s="0" t="n">
        <v>72.336382</v>
      </c>
      <c r="F137" s="0" t="s">
        <v>100</v>
      </c>
      <c r="G137" s="1" t="s">
        <v>6</v>
      </c>
      <c r="H137" s="0" t="n">
        <v>46.619246</v>
      </c>
      <c r="I137" s="0" t="s">
        <v>17</v>
      </c>
      <c r="J137" s="1" t="s">
        <v>5</v>
      </c>
      <c r="K137" s="0" t="n">
        <v>21.97474</v>
      </c>
      <c r="L137" s="0" t="s">
        <v>100</v>
      </c>
      <c r="M137" s="1" t="s">
        <v>6</v>
      </c>
      <c r="N137" s="0" t="n">
        <v>96.75305</v>
      </c>
      <c r="O137" s="0" t="s">
        <v>205</v>
      </c>
      <c r="P137" s="1" t="s">
        <v>6</v>
      </c>
      <c r="Q137" s="0" t="n">
        <v>87.975224</v>
      </c>
      <c r="R137" s="0" t="s">
        <v>15</v>
      </c>
      <c r="S137" s="1" t="s">
        <v>6</v>
      </c>
      <c r="T137" s="0" t="s">
        <v>10</v>
      </c>
      <c r="U137" s="0" t="s">
        <v>2</v>
      </c>
      <c r="V137" s="0" t="s">
        <v>3</v>
      </c>
      <c r="W137" s="0" t="n">
        <v>88.354349</v>
      </c>
      <c r="X137" s="0" t="s">
        <v>4</v>
      </c>
      <c r="Y137" s="1" t="s">
        <v>5</v>
      </c>
      <c r="Z137" s="0" t="n">
        <v>19.118095</v>
      </c>
      <c r="AA137" s="0" t="s">
        <v>7</v>
      </c>
      <c r="AB137" s="1" t="s">
        <v>5</v>
      </c>
      <c r="AC137" s="0" t="n">
        <v>61.193292</v>
      </c>
      <c r="AD137" s="0" t="s">
        <v>4</v>
      </c>
      <c r="AE137" s="1" t="s">
        <v>5</v>
      </c>
      <c r="AF137" s="0" t="n">
        <v>30.261789</v>
      </c>
      <c r="AG137" s="0" t="s">
        <v>8</v>
      </c>
      <c r="AH137" s="1" t="s">
        <v>5</v>
      </c>
      <c r="AI137" s="0" t="n">
        <v>28.169512</v>
      </c>
      <c r="AJ137" s="0" t="s">
        <v>9</v>
      </c>
      <c r="AK137" s="1" t="s">
        <v>5</v>
      </c>
      <c r="AL137" s="0" t="s">
        <v>11</v>
      </c>
      <c r="AM137" s="0" t="s">
        <v>2</v>
      </c>
      <c r="AN137" s="0" t="s">
        <v>3</v>
      </c>
      <c r="AO137" s="0" t="n">
        <v>35.77932</v>
      </c>
      <c r="AP137" s="0" t="n">
        <v>0</v>
      </c>
      <c r="AQ137" s="0" t="n">
        <v>1</v>
      </c>
      <c r="AS137" s="2" t="str">
        <f aca="false">IF(AND(G137="true",J137="true",M137="true",P137="true",S137="true"),"true","false")</f>
        <v>false</v>
      </c>
      <c r="AT137" s="0" t="str">
        <f aca="false">IF(AND(Y137="true",AB137="true",AE137="true",AH137="true",AK137="true"),"true","false")</f>
        <v>true</v>
      </c>
    </row>
    <row r="138" customFormat="false" ht="12.8" hidden="false" customHeight="false" outlineLevel="0" collapsed="false">
      <c r="A138" s="0" t="s">
        <v>246</v>
      </c>
      <c r="B138" s="0" t="s">
        <v>1</v>
      </c>
      <c r="C138" s="0" t="s">
        <v>11</v>
      </c>
      <c r="D138" s="0" t="s">
        <v>3</v>
      </c>
      <c r="E138" s="0" t="n">
        <v>24.871997</v>
      </c>
      <c r="F138" s="0" t="s">
        <v>21</v>
      </c>
      <c r="G138" s="1" t="s">
        <v>5</v>
      </c>
      <c r="H138" s="0" t="n">
        <v>27.768551</v>
      </c>
      <c r="I138" s="0" t="s">
        <v>12</v>
      </c>
      <c r="J138" s="1" t="s">
        <v>6</v>
      </c>
      <c r="K138" s="0" t="n">
        <v>67.618796</v>
      </c>
      <c r="L138" s="0" t="s">
        <v>12</v>
      </c>
      <c r="M138" s="1" t="s">
        <v>5</v>
      </c>
      <c r="N138" s="0" t="n">
        <v>64.556607</v>
      </c>
      <c r="O138" s="0" t="s">
        <v>22</v>
      </c>
      <c r="P138" s="1" t="s">
        <v>6</v>
      </c>
      <c r="Q138" s="0" t="n">
        <v>41.278319</v>
      </c>
      <c r="R138" s="0" t="s">
        <v>51</v>
      </c>
      <c r="S138" s="1" t="s">
        <v>5</v>
      </c>
      <c r="T138" s="0" t="s">
        <v>10</v>
      </c>
      <c r="U138" s="0" t="s">
        <v>2</v>
      </c>
      <c r="V138" s="0" t="s">
        <v>3</v>
      </c>
      <c r="W138" s="0" t="n">
        <v>17.278453</v>
      </c>
      <c r="X138" s="0" t="s">
        <v>4</v>
      </c>
      <c r="Y138" s="1" t="s">
        <v>5</v>
      </c>
      <c r="Z138" s="0" t="n">
        <v>22.658383</v>
      </c>
      <c r="AA138" s="0" t="s">
        <v>46</v>
      </c>
      <c r="AB138" s="1" t="s">
        <v>6</v>
      </c>
      <c r="AC138" s="0" t="n">
        <v>16.035339</v>
      </c>
      <c r="AD138" s="0" t="s">
        <v>7</v>
      </c>
      <c r="AE138" s="1" t="s">
        <v>6</v>
      </c>
      <c r="AF138" s="0" t="n">
        <v>21.139675</v>
      </c>
      <c r="AG138" s="0" t="s">
        <v>8</v>
      </c>
      <c r="AH138" s="1" t="s">
        <v>5</v>
      </c>
      <c r="AI138" s="0" t="n">
        <v>41.94735</v>
      </c>
      <c r="AJ138" s="0" t="s">
        <v>15</v>
      </c>
      <c r="AK138" s="1" t="s">
        <v>6</v>
      </c>
      <c r="AL138" s="0" t="s">
        <v>11</v>
      </c>
      <c r="AM138" s="0" t="s">
        <v>2</v>
      </c>
      <c r="AN138" s="0" t="s">
        <v>3</v>
      </c>
      <c r="AO138" s="0" t="n">
        <v>68.93777</v>
      </c>
      <c r="AP138" s="0" t="n">
        <v>-1</v>
      </c>
      <c r="AQ138" s="0" t="n">
        <v>1</v>
      </c>
      <c r="AR138" s="0" t="s">
        <v>247</v>
      </c>
      <c r="AS138" s="2" t="str">
        <f aca="false">IF(AND(G138="true",J138="true",M138="true",P138="true",S138="true"),"true","false")</f>
        <v>false</v>
      </c>
      <c r="AT138" s="0" t="str">
        <f aca="false">IF(AND(Y138="true",AB138="true",AE138="true",AH138="true",AK138="true"),"true","false")</f>
        <v>false</v>
      </c>
    </row>
    <row r="139" customFormat="false" ht="12.8" hidden="false" customHeight="false" outlineLevel="0" collapsed="false">
      <c r="A139" s="0" t="s">
        <v>248</v>
      </c>
      <c r="B139" s="0" t="s">
        <v>1</v>
      </c>
      <c r="C139" s="0" t="s">
        <v>11</v>
      </c>
      <c r="D139" s="0" t="s">
        <v>3</v>
      </c>
      <c r="E139" s="0" t="n">
        <v>20.638028</v>
      </c>
      <c r="F139" s="0" t="s">
        <v>21</v>
      </c>
      <c r="G139" s="1" t="s">
        <v>5</v>
      </c>
      <c r="H139" s="0" t="n">
        <v>10.810757</v>
      </c>
      <c r="I139" s="0" t="s">
        <v>17</v>
      </c>
      <c r="J139" s="1" t="s">
        <v>5</v>
      </c>
      <c r="K139" s="0" t="n">
        <v>10.785015</v>
      </c>
      <c r="L139" s="0" t="s">
        <v>12</v>
      </c>
      <c r="M139" s="1" t="s">
        <v>5</v>
      </c>
      <c r="N139" s="0" t="n">
        <v>33.156707</v>
      </c>
      <c r="O139" s="0" t="s">
        <v>22</v>
      </c>
      <c r="P139" s="1" t="s">
        <v>6</v>
      </c>
      <c r="Q139" s="0" t="n">
        <v>59.498952</v>
      </c>
      <c r="R139" s="0" t="s">
        <v>15</v>
      </c>
      <c r="S139" s="1" t="s">
        <v>6</v>
      </c>
      <c r="T139" s="0" t="s">
        <v>10</v>
      </c>
      <c r="U139" s="0" t="s">
        <v>2</v>
      </c>
      <c r="V139" s="0" t="s">
        <v>3</v>
      </c>
      <c r="W139" s="0" t="n">
        <v>94.706241</v>
      </c>
      <c r="X139" s="0" t="s">
        <v>4</v>
      </c>
      <c r="Y139" s="1" t="s">
        <v>5</v>
      </c>
      <c r="Z139" s="0" t="n">
        <v>27.653549</v>
      </c>
      <c r="AA139" s="0" t="s">
        <v>7</v>
      </c>
      <c r="AB139" s="1" t="s">
        <v>5</v>
      </c>
      <c r="AC139" s="0" t="n">
        <v>7.90771</v>
      </c>
      <c r="AD139" s="0" t="s">
        <v>4</v>
      </c>
      <c r="AE139" s="1" t="s">
        <v>5</v>
      </c>
      <c r="AF139" s="0" t="n">
        <v>29.726338</v>
      </c>
      <c r="AG139" s="0" t="s">
        <v>8</v>
      </c>
      <c r="AH139" s="1" t="s">
        <v>5</v>
      </c>
      <c r="AI139" s="0" t="n">
        <v>125.015154</v>
      </c>
      <c r="AJ139" s="0" t="s">
        <v>15</v>
      </c>
      <c r="AK139" s="1" t="s">
        <v>6</v>
      </c>
      <c r="AL139" s="0" t="s">
        <v>11</v>
      </c>
      <c r="AM139" s="0" t="s">
        <v>2</v>
      </c>
      <c r="AN139" s="0" t="s">
        <v>3</v>
      </c>
      <c r="AO139" s="0" t="n">
        <v>10.428017</v>
      </c>
      <c r="AP139" s="0" t="n">
        <v>1</v>
      </c>
      <c r="AQ139" s="0" t="n">
        <v>0</v>
      </c>
      <c r="AS139" s="2" t="str">
        <f aca="false">IF(AND(G139="true",J139="true",M139="true",P139="true",S139="true"),"true","false")</f>
        <v>false</v>
      </c>
      <c r="AT139" s="0" t="str">
        <f aca="false">IF(AND(Y139="true",AB139="true",AE139="true",AH139="true",AK139="true"),"true","false")</f>
        <v>false</v>
      </c>
    </row>
    <row r="140" customFormat="false" ht="12.8" hidden="false" customHeight="false" outlineLevel="0" collapsed="false">
      <c r="A140" s="0" t="s">
        <v>249</v>
      </c>
      <c r="B140" s="0" t="s">
        <v>1</v>
      </c>
      <c r="C140" s="0" t="s">
        <v>11</v>
      </c>
      <c r="D140" s="0" t="s">
        <v>3</v>
      </c>
      <c r="E140" s="0" t="n">
        <v>43.473992</v>
      </c>
      <c r="F140" s="0" t="s">
        <v>12</v>
      </c>
      <c r="G140" s="1" t="s">
        <v>6</v>
      </c>
      <c r="H140" s="0" t="n">
        <v>22.499185</v>
      </c>
      <c r="I140" s="0" t="s">
        <v>17</v>
      </c>
      <c r="J140" s="1" t="s">
        <v>5</v>
      </c>
      <c r="K140" s="0" t="n">
        <v>11.971053</v>
      </c>
      <c r="L140" s="0" t="s">
        <v>12</v>
      </c>
      <c r="M140" s="1" t="s">
        <v>5</v>
      </c>
      <c r="N140" s="0" t="n">
        <v>49.488577</v>
      </c>
      <c r="O140" s="0" t="s">
        <v>22</v>
      </c>
      <c r="P140" s="1" t="s">
        <v>6</v>
      </c>
      <c r="Q140" s="0" t="n">
        <v>42.628402</v>
      </c>
      <c r="R140" s="0" t="s">
        <v>15</v>
      </c>
      <c r="S140" s="1" t="s">
        <v>6</v>
      </c>
      <c r="T140" s="0" t="s">
        <v>10</v>
      </c>
      <c r="U140" s="0" t="s">
        <v>2</v>
      </c>
      <c r="V140" s="0" t="s">
        <v>3</v>
      </c>
      <c r="W140" s="0" t="n">
        <v>58.275781</v>
      </c>
      <c r="X140" s="0" t="s">
        <v>4</v>
      </c>
      <c r="Y140" s="1" t="s">
        <v>5</v>
      </c>
      <c r="Z140" s="0" t="n">
        <v>34.193284</v>
      </c>
      <c r="AA140" s="0" t="s">
        <v>7</v>
      </c>
      <c r="AB140" s="1" t="s">
        <v>5</v>
      </c>
      <c r="AC140" s="0" t="n">
        <v>5.976688</v>
      </c>
      <c r="AD140" s="0" t="s">
        <v>4</v>
      </c>
      <c r="AE140" s="1" t="s">
        <v>5</v>
      </c>
      <c r="AF140" s="0" t="n">
        <v>27.422355</v>
      </c>
      <c r="AG140" s="0" t="s">
        <v>8</v>
      </c>
      <c r="AH140" s="1" t="s">
        <v>5</v>
      </c>
      <c r="AI140" s="0" t="n">
        <v>38.510417</v>
      </c>
      <c r="AJ140" s="0" t="s">
        <v>9</v>
      </c>
      <c r="AK140" s="1" t="s">
        <v>5</v>
      </c>
      <c r="AL140" s="0" t="s">
        <v>11</v>
      </c>
      <c r="AM140" s="0" t="s">
        <v>2</v>
      </c>
      <c r="AN140" s="0" t="s">
        <v>3</v>
      </c>
      <c r="AO140" s="0" t="n">
        <v>13.045802</v>
      </c>
      <c r="AP140" s="0" t="n">
        <v>1</v>
      </c>
      <c r="AQ140" s="0" t="n">
        <v>0</v>
      </c>
      <c r="AS140" s="2" t="str">
        <f aca="false">IF(AND(G140="true",J140="true",M140="true",P140="true",S140="true"),"true","false")</f>
        <v>false</v>
      </c>
      <c r="AT140" s="0" t="str">
        <f aca="false">IF(AND(Y140="true",AB140="true",AE140="true",AH140="true",AK140="true"),"true","false")</f>
        <v>true</v>
      </c>
    </row>
    <row r="141" customFormat="false" ht="12.8" hidden="false" customHeight="false" outlineLevel="0" collapsed="false">
      <c r="A141" s="0" t="s">
        <v>250</v>
      </c>
      <c r="B141" s="0" t="s">
        <v>1</v>
      </c>
      <c r="C141" s="0" t="s">
        <v>11</v>
      </c>
      <c r="D141" s="0" t="s">
        <v>3</v>
      </c>
      <c r="E141" s="0" t="n">
        <v>26.996418</v>
      </c>
      <c r="F141" s="0" t="s">
        <v>21</v>
      </c>
      <c r="G141" s="1" t="s">
        <v>5</v>
      </c>
      <c r="H141" s="0" t="n">
        <v>26.967596</v>
      </c>
      <c r="I141" s="0" t="s">
        <v>12</v>
      </c>
      <c r="J141" s="1" t="s">
        <v>6</v>
      </c>
      <c r="K141" s="0" t="n">
        <v>39.693055</v>
      </c>
      <c r="L141" s="0" t="s">
        <v>12</v>
      </c>
      <c r="M141" s="1" t="s">
        <v>5</v>
      </c>
      <c r="N141" s="0" t="n">
        <v>41.957043</v>
      </c>
      <c r="O141" s="0" t="s">
        <v>22</v>
      </c>
      <c r="P141" s="1" t="s">
        <v>6</v>
      </c>
      <c r="Q141" s="0" t="n">
        <v>23.3958</v>
      </c>
      <c r="R141" s="0" t="s">
        <v>15</v>
      </c>
      <c r="S141" s="1" t="s">
        <v>6</v>
      </c>
      <c r="T141" s="0" t="s">
        <v>10</v>
      </c>
      <c r="U141" s="0" t="s">
        <v>2</v>
      </c>
      <c r="V141" s="0" t="s">
        <v>3</v>
      </c>
      <c r="W141" s="0" t="n">
        <v>87.601752</v>
      </c>
      <c r="X141" s="0" t="s">
        <v>82</v>
      </c>
      <c r="Y141" s="1" t="s">
        <v>6</v>
      </c>
      <c r="Z141" s="0" t="n">
        <v>12.444848</v>
      </c>
      <c r="AA141" s="0" t="s">
        <v>82</v>
      </c>
      <c r="AB141" s="1" t="s">
        <v>6</v>
      </c>
      <c r="AC141" s="0" t="n">
        <v>7.481916</v>
      </c>
      <c r="AD141" s="0" t="s">
        <v>82</v>
      </c>
      <c r="AE141" s="1" t="s">
        <v>6</v>
      </c>
      <c r="AF141" s="0" t="n">
        <v>22.758236</v>
      </c>
      <c r="AG141" s="0" t="s">
        <v>62</v>
      </c>
      <c r="AH141" s="1" t="s">
        <v>6</v>
      </c>
      <c r="AI141" s="0" t="n">
        <v>8.151421</v>
      </c>
      <c r="AJ141" s="0" t="s">
        <v>9</v>
      </c>
      <c r="AK141" s="1" t="s">
        <v>5</v>
      </c>
      <c r="AL141" s="0" t="s">
        <v>11</v>
      </c>
      <c r="AM141" s="0" t="s">
        <v>2</v>
      </c>
      <c r="AN141" s="0" t="s">
        <v>3</v>
      </c>
      <c r="AO141" s="0" t="n">
        <v>43.483066</v>
      </c>
      <c r="AP141" s="0" t="n">
        <v>-1</v>
      </c>
      <c r="AQ141" s="0" t="n">
        <v>1</v>
      </c>
      <c r="AR141" s="0" t="s">
        <v>251</v>
      </c>
      <c r="AS141" s="2" t="str">
        <f aca="false">IF(AND(G141="true",J141="true",M141="true",P141="true",S141="true"),"true","false")</f>
        <v>false</v>
      </c>
      <c r="AT141" s="0" t="str">
        <f aca="false">IF(AND(Y141="true",AB141="true",AE141="true",AH141="true",AK141="true"),"true","false")</f>
        <v>false</v>
      </c>
    </row>
    <row r="271" customFormat="false" ht="15.65" hidden="false" customHeight="true" outlineLevel="0" collapsed="false"/>
    <row r="291" customFormat="false" ht="14.15" hidden="false" customHeight="true" outlineLevel="0" collapsed="false"/>
    <row r="376" customFormat="false" ht="12.65" hidden="false" customHeight="true" outlineLevel="0" collapsed="false"/>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37"/>
  <sheetViews>
    <sheetView showFormulas="false" showGridLines="true" showRowColHeaders="true" showZeros="true" rightToLeft="false" tabSelected="false" showOutlineSymbols="true" defaultGridColor="true" view="normal" topLeftCell="AM1" colorId="64" zoomScale="160" zoomScaleNormal="160" zoomScalePageLayoutView="100" workbookViewId="0">
      <selection pane="topLeft" activeCell="AU8" activeCellId="0" sqref="AU8"/>
    </sheetView>
  </sheetViews>
  <sheetFormatPr defaultColWidth="11.53515625" defaultRowHeight="12.8" customHeight="true" zeroHeight="false" outlineLevelRow="0" outlineLevelCol="0"/>
  <cols>
    <col collapsed="false" customWidth="true" hidden="false" outlineLevel="0" max="44" min="44" style="0" width="296.22"/>
  </cols>
  <sheetData>
    <row r="1" customFormat="false" ht="12.8" hidden="false" customHeight="false" outlineLevel="0" collapsed="false">
      <c r="A1" s="0" t="s">
        <v>252</v>
      </c>
      <c r="B1" s="0" t="s">
        <v>1</v>
      </c>
      <c r="C1" s="0" t="s">
        <v>253</v>
      </c>
      <c r="D1" s="0" t="s">
        <v>254</v>
      </c>
      <c r="E1" s="0" t="n">
        <v>26.49583</v>
      </c>
      <c r="F1" s="0" t="s">
        <v>255</v>
      </c>
      <c r="G1" s="1" t="s">
        <v>5</v>
      </c>
      <c r="H1" s="0" t="n">
        <v>19.796354</v>
      </c>
      <c r="I1" s="0" t="s">
        <v>255</v>
      </c>
      <c r="J1" s="1" t="s">
        <v>5</v>
      </c>
      <c r="K1" s="0" t="n">
        <v>4.119664</v>
      </c>
      <c r="L1" s="0" t="s">
        <v>256</v>
      </c>
      <c r="M1" s="1" t="s">
        <v>5</v>
      </c>
      <c r="N1" s="0" t="n">
        <v>32.818027</v>
      </c>
      <c r="O1" s="0" t="s">
        <v>257</v>
      </c>
      <c r="P1" s="1" t="s">
        <v>5</v>
      </c>
      <c r="Q1" s="0" t="n">
        <v>21.601468</v>
      </c>
      <c r="R1" s="0" t="s">
        <v>51</v>
      </c>
      <c r="S1" s="1" t="s">
        <v>5</v>
      </c>
      <c r="T1" s="0" t="s">
        <v>10</v>
      </c>
      <c r="U1" s="0" t="s">
        <v>258</v>
      </c>
      <c r="V1" s="0" t="s">
        <v>254</v>
      </c>
      <c r="W1" s="0" t="n">
        <v>139.872104</v>
      </c>
      <c r="Y1" s="1" t="s">
        <v>6</v>
      </c>
      <c r="Z1" s="0" t="n">
        <v>0.471163</v>
      </c>
      <c r="AB1" s="1" t="s">
        <v>6</v>
      </c>
      <c r="AC1" s="0" t="n">
        <v>0.405355</v>
      </c>
      <c r="AE1" s="1" t="s">
        <v>6</v>
      </c>
      <c r="AF1" s="0" t="n">
        <v>1.133862</v>
      </c>
      <c r="AH1" s="1" t="s">
        <v>6</v>
      </c>
      <c r="AI1" s="0" t="n">
        <v>0.989791</v>
      </c>
      <c r="AK1" s="1" t="s">
        <v>6</v>
      </c>
      <c r="AL1" s="0" t="s">
        <v>253</v>
      </c>
      <c r="AM1" s="0" t="s">
        <v>258</v>
      </c>
      <c r="AN1" s="0" t="s">
        <v>254</v>
      </c>
      <c r="AO1" s="0" t="n">
        <v>2.190479</v>
      </c>
      <c r="AS1" s="2" t="str">
        <f aca="false">IF(AND(G1="true",J1="true",M1="true",P1="true",S1="true"),"true","false")</f>
        <v>true</v>
      </c>
      <c r="AT1" s="0" t="str">
        <f aca="false">IF(AND(Y1="true",AB1="true",AE1="true",AH1="true",AK1="true"),"true","false")</f>
        <v>false</v>
      </c>
    </row>
    <row r="2" customFormat="false" ht="12.8" hidden="false" customHeight="false" outlineLevel="0" collapsed="false">
      <c r="A2" s="0" t="s">
        <v>259</v>
      </c>
      <c r="B2" s="0" t="s">
        <v>1</v>
      </c>
      <c r="C2" s="0" t="s">
        <v>253</v>
      </c>
      <c r="D2" s="0" t="s">
        <v>254</v>
      </c>
      <c r="E2" s="0" t="n">
        <v>41.611119</v>
      </c>
      <c r="F2" s="0" t="s">
        <v>255</v>
      </c>
      <c r="G2" s="1" t="s">
        <v>5</v>
      </c>
      <c r="H2" s="0" t="n">
        <v>23.1904</v>
      </c>
      <c r="I2" s="0" t="s">
        <v>255</v>
      </c>
      <c r="J2" s="1" t="s">
        <v>5</v>
      </c>
      <c r="K2" s="0" t="n">
        <v>6.939846</v>
      </c>
      <c r="L2" s="0" t="s">
        <v>256</v>
      </c>
      <c r="M2" s="1" t="s">
        <v>5</v>
      </c>
      <c r="N2" s="0" t="n">
        <v>25.27968</v>
      </c>
      <c r="O2" s="0" t="s">
        <v>257</v>
      </c>
      <c r="P2" s="1" t="s">
        <v>5</v>
      </c>
      <c r="Q2" s="0" t="n">
        <v>59.363228</v>
      </c>
      <c r="R2" s="0" t="s">
        <v>51</v>
      </c>
      <c r="S2" s="1" t="s">
        <v>5</v>
      </c>
      <c r="T2" s="0" t="s">
        <v>10</v>
      </c>
      <c r="U2" s="0" t="s">
        <v>258</v>
      </c>
      <c r="V2" s="0" t="s">
        <v>254</v>
      </c>
      <c r="W2" s="0" t="n">
        <v>36.876977</v>
      </c>
      <c r="X2" s="0" t="s">
        <v>260</v>
      </c>
      <c r="Y2" s="1" t="s">
        <v>5</v>
      </c>
      <c r="Z2" s="0" t="n">
        <v>10.003089</v>
      </c>
      <c r="AA2" s="0" t="s">
        <v>261</v>
      </c>
      <c r="AB2" s="1" t="s">
        <v>5</v>
      </c>
      <c r="AC2" s="0" t="n">
        <v>6.311144</v>
      </c>
      <c r="AD2" s="0" t="s">
        <v>262</v>
      </c>
      <c r="AE2" s="1" t="s">
        <v>5</v>
      </c>
      <c r="AF2" s="0" t="n">
        <v>29.270035</v>
      </c>
      <c r="AG2" s="0" t="s">
        <v>224</v>
      </c>
      <c r="AH2" s="1" t="s">
        <v>5</v>
      </c>
      <c r="AI2" s="0" t="n">
        <v>55.729473</v>
      </c>
      <c r="AJ2" s="0" t="s">
        <v>9</v>
      </c>
      <c r="AK2" s="1" t="s">
        <v>5</v>
      </c>
      <c r="AL2" s="0" t="s">
        <v>253</v>
      </c>
      <c r="AM2" s="0" t="s">
        <v>258</v>
      </c>
      <c r="AN2" s="0" t="s">
        <v>254</v>
      </c>
      <c r="AO2" s="0" t="n">
        <v>18.994357</v>
      </c>
      <c r="AP2" s="0" t="n">
        <v>1</v>
      </c>
      <c r="AQ2" s="0" t="n">
        <v>-1</v>
      </c>
      <c r="AS2" s="2" t="str">
        <f aca="false">IF(AND(G2="true",J2="true",M2="true",P2="true",S2="true"),"true","false")</f>
        <v>true</v>
      </c>
      <c r="AT2" s="0" t="str">
        <f aca="false">IF(AND(Y2="true",AB2="true",AE2="true",AH2="true",AK2="true"),"true","false")</f>
        <v>true</v>
      </c>
    </row>
    <row r="3" customFormat="false" ht="12.8" hidden="false" customHeight="false" outlineLevel="0" collapsed="false">
      <c r="A3" s="0" t="s">
        <v>263</v>
      </c>
      <c r="B3" s="0" t="s">
        <v>1</v>
      </c>
      <c r="C3" s="0" t="s">
        <v>258</v>
      </c>
      <c r="D3" s="0" t="s">
        <v>254</v>
      </c>
      <c r="E3" s="0" t="n">
        <v>25.683011</v>
      </c>
      <c r="F3" s="0" t="s">
        <v>260</v>
      </c>
      <c r="G3" s="1" t="s">
        <v>5</v>
      </c>
      <c r="H3" s="0" t="n">
        <v>9.688338</v>
      </c>
      <c r="I3" s="0" t="s">
        <v>261</v>
      </c>
      <c r="J3" s="1" t="s">
        <v>5</v>
      </c>
      <c r="K3" s="0" t="n">
        <v>4.43215</v>
      </c>
      <c r="L3" s="0" t="s">
        <v>262</v>
      </c>
      <c r="M3" s="1" t="s">
        <v>5</v>
      </c>
      <c r="N3" s="0" t="n">
        <v>56.2497</v>
      </c>
      <c r="O3" s="0" t="s">
        <v>224</v>
      </c>
      <c r="P3" s="1" t="s">
        <v>5</v>
      </c>
      <c r="Q3" s="0" t="n">
        <v>15.798803</v>
      </c>
      <c r="R3" s="0" t="s">
        <v>9</v>
      </c>
      <c r="S3" s="1" t="s">
        <v>6</v>
      </c>
      <c r="T3" s="0" t="s">
        <v>10</v>
      </c>
      <c r="U3" s="0" t="s">
        <v>253</v>
      </c>
      <c r="V3" s="0" t="s">
        <v>254</v>
      </c>
      <c r="W3" s="0" t="n">
        <v>18.345308</v>
      </c>
      <c r="X3" s="0" t="s">
        <v>255</v>
      </c>
      <c r="Y3" s="1" t="s">
        <v>5</v>
      </c>
      <c r="Z3" s="0" t="n">
        <v>21.597163</v>
      </c>
      <c r="AA3" s="0" t="s">
        <v>264</v>
      </c>
      <c r="AB3" s="1" t="s">
        <v>6</v>
      </c>
      <c r="AC3" s="0" t="n">
        <v>2.769705</v>
      </c>
      <c r="AD3" s="0" t="s">
        <v>256</v>
      </c>
      <c r="AE3" s="1" t="s">
        <v>5</v>
      </c>
      <c r="AF3" s="0" t="n">
        <v>30.265077</v>
      </c>
      <c r="AG3" s="0" t="s">
        <v>257</v>
      </c>
      <c r="AH3" s="1" t="s">
        <v>5</v>
      </c>
      <c r="AI3" s="0" t="n">
        <v>13.626828</v>
      </c>
      <c r="AJ3" s="0" t="s">
        <v>15</v>
      </c>
      <c r="AK3" s="1" t="s">
        <v>6</v>
      </c>
      <c r="AL3" s="0" t="s">
        <v>258</v>
      </c>
      <c r="AM3" s="0" t="s">
        <v>253</v>
      </c>
      <c r="AN3" s="0" t="s">
        <v>254</v>
      </c>
      <c r="AO3" s="0" t="n">
        <v>6.650006</v>
      </c>
      <c r="AP3" s="0" t="n">
        <v>-1</v>
      </c>
      <c r="AQ3" s="0" t="n">
        <v>1</v>
      </c>
      <c r="AS3" s="2" t="str">
        <f aca="false">IF(AND(G3="true",J3="true",M3="true",P3="true",S3="true"),"true","false")</f>
        <v>false</v>
      </c>
      <c r="AT3" s="0" t="str">
        <f aca="false">IF(AND(Y3="true",AB3="true",AE3="true",AH3="true",AK3="true"),"true","false")</f>
        <v>false</v>
      </c>
    </row>
    <row r="4" customFormat="false" ht="12.8" hidden="false" customHeight="false" outlineLevel="0" collapsed="false">
      <c r="A4" s="0" t="s">
        <v>265</v>
      </c>
      <c r="B4" s="0" t="s">
        <v>1</v>
      </c>
      <c r="C4" s="0" t="s">
        <v>258</v>
      </c>
      <c r="D4" s="0" t="s">
        <v>254</v>
      </c>
      <c r="E4" s="0" t="n">
        <v>51.223671</v>
      </c>
      <c r="F4" s="0" t="s">
        <v>260</v>
      </c>
      <c r="G4" s="1" t="s">
        <v>5</v>
      </c>
      <c r="H4" s="0" t="n">
        <v>20.335289</v>
      </c>
      <c r="I4" s="0" t="s">
        <v>261</v>
      </c>
      <c r="J4" s="1" t="s">
        <v>5</v>
      </c>
      <c r="K4" s="0" t="n">
        <v>4.848473</v>
      </c>
      <c r="L4" s="0" t="s">
        <v>262</v>
      </c>
      <c r="M4" s="1" t="s">
        <v>5</v>
      </c>
      <c r="N4" s="0" t="n">
        <v>17.931235</v>
      </c>
      <c r="O4" s="0" t="s">
        <v>224</v>
      </c>
      <c r="P4" s="1" t="s">
        <v>5</v>
      </c>
      <c r="Q4" s="0" t="n">
        <v>8.086924</v>
      </c>
      <c r="R4" s="0" t="s">
        <v>9</v>
      </c>
      <c r="S4" s="1" t="s">
        <v>6</v>
      </c>
      <c r="T4" s="0" t="s">
        <v>10</v>
      </c>
      <c r="U4" s="0" t="s">
        <v>253</v>
      </c>
      <c r="V4" s="0" t="s">
        <v>254</v>
      </c>
      <c r="W4" s="0" t="n">
        <v>81.343317</v>
      </c>
      <c r="X4" s="0" t="s">
        <v>255</v>
      </c>
      <c r="Y4" s="1" t="s">
        <v>5</v>
      </c>
      <c r="Z4" s="0" t="n">
        <v>40.433481</v>
      </c>
      <c r="AA4" s="0" t="s">
        <v>264</v>
      </c>
      <c r="AB4" s="1" t="s">
        <v>6</v>
      </c>
      <c r="AC4" s="0" t="n">
        <v>8.386873</v>
      </c>
      <c r="AE4" s="1" t="s">
        <v>6</v>
      </c>
      <c r="AF4" s="0" t="n">
        <v>44.244115</v>
      </c>
      <c r="AG4" s="0" t="s">
        <v>266</v>
      </c>
      <c r="AH4" s="1" t="s">
        <v>6</v>
      </c>
      <c r="AI4" s="0" t="n">
        <v>22.235637</v>
      </c>
      <c r="AJ4" s="0" t="s">
        <v>51</v>
      </c>
      <c r="AK4" s="1" t="s">
        <v>6</v>
      </c>
      <c r="AL4" s="0" t="s">
        <v>258</v>
      </c>
      <c r="AM4" s="0" t="s">
        <v>253</v>
      </c>
      <c r="AN4" s="0" t="s">
        <v>254</v>
      </c>
      <c r="AO4" s="0" t="n">
        <v>10.474041</v>
      </c>
      <c r="AP4" s="0" t="n">
        <v>2</v>
      </c>
      <c r="AQ4" s="0" t="n">
        <v>1</v>
      </c>
      <c r="AS4" s="2" t="str">
        <f aca="false">IF(AND(G4="true",J4="true",M4="true",P4="true",S4="true"),"true","false")</f>
        <v>false</v>
      </c>
      <c r="AT4" s="0" t="str">
        <f aca="false">IF(AND(Y4="true",AB4="true",AE4="true",AH4="true",AK4="true"),"true","false")</f>
        <v>false</v>
      </c>
    </row>
    <row r="5" customFormat="false" ht="12.8" hidden="false" customHeight="false" outlineLevel="0" collapsed="false">
      <c r="A5" s="0" t="s">
        <v>267</v>
      </c>
      <c r="B5" s="0" t="s">
        <v>1</v>
      </c>
      <c r="C5" s="0" t="s">
        <v>258</v>
      </c>
      <c r="D5" s="0" t="s">
        <v>254</v>
      </c>
      <c r="E5" s="0" t="n">
        <v>15.990828</v>
      </c>
      <c r="F5" s="0" t="s">
        <v>260</v>
      </c>
      <c r="G5" s="1" t="s">
        <v>5</v>
      </c>
      <c r="H5" s="0" t="n">
        <v>9.860478</v>
      </c>
      <c r="I5" s="0" t="s">
        <v>261</v>
      </c>
      <c r="J5" s="1" t="s">
        <v>5</v>
      </c>
      <c r="K5" s="0" t="n">
        <v>5.718652</v>
      </c>
      <c r="L5" s="0" t="s">
        <v>262</v>
      </c>
      <c r="M5" s="1" t="s">
        <v>5</v>
      </c>
      <c r="N5" s="0" t="n">
        <v>14.679421</v>
      </c>
      <c r="O5" s="0" t="s">
        <v>224</v>
      </c>
      <c r="P5" s="1" t="s">
        <v>5</v>
      </c>
      <c r="Q5" s="0" t="n">
        <v>16.100797</v>
      </c>
      <c r="R5" s="0" t="s">
        <v>9</v>
      </c>
      <c r="S5" s="1" t="s">
        <v>6</v>
      </c>
      <c r="T5" s="0" t="s">
        <v>10</v>
      </c>
      <c r="U5" s="0" t="s">
        <v>253</v>
      </c>
      <c r="V5" s="0" t="s">
        <v>254</v>
      </c>
      <c r="W5" s="0" t="n">
        <v>20.495565</v>
      </c>
      <c r="X5" s="0" t="s">
        <v>255</v>
      </c>
      <c r="Y5" s="1" t="s">
        <v>5</v>
      </c>
      <c r="Z5" s="0" t="n">
        <v>15.903369</v>
      </c>
      <c r="AA5" s="0" t="s">
        <v>255</v>
      </c>
      <c r="AB5" s="1" t="s">
        <v>5</v>
      </c>
      <c r="AC5" s="0" t="n">
        <v>5.884284</v>
      </c>
      <c r="AD5" s="0" t="s">
        <v>256</v>
      </c>
      <c r="AE5" s="1" t="s">
        <v>5</v>
      </c>
      <c r="AF5" s="0" t="n">
        <v>16.12294</v>
      </c>
      <c r="AG5" s="0" t="s">
        <v>257</v>
      </c>
      <c r="AH5" s="1" t="s">
        <v>5</v>
      </c>
      <c r="AI5" s="0" t="n">
        <v>9.836343</v>
      </c>
      <c r="AJ5" s="0" t="s">
        <v>9</v>
      </c>
      <c r="AK5" s="1" t="s">
        <v>5</v>
      </c>
      <c r="AL5" s="0" t="s">
        <v>258</v>
      </c>
      <c r="AM5" s="0" t="s">
        <v>253</v>
      </c>
      <c r="AN5" s="0" t="s">
        <v>254</v>
      </c>
      <c r="AO5" s="0" t="n">
        <v>5.861895</v>
      </c>
      <c r="AP5" s="0" t="n">
        <v>1</v>
      </c>
      <c r="AQ5" s="0" t="n">
        <v>1</v>
      </c>
      <c r="AS5" s="2" t="str">
        <f aca="false">IF(AND(G5="true",J5="true",M5="true",P5="true",S5="true"),"true","false")</f>
        <v>false</v>
      </c>
      <c r="AT5" s="0" t="str">
        <f aca="false">IF(AND(Y5="true",AB5="true",AE5="true",AH5="true",AK5="true"),"true","false")</f>
        <v>true</v>
      </c>
    </row>
    <row r="6" customFormat="false" ht="12.8" hidden="false" customHeight="false" outlineLevel="0" collapsed="false">
      <c r="A6" s="0" t="s">
        <v>268</v>
      </c>
      <c r="B6" s="0" t="s">
        <v>1</v>
      </c>
      <c r="C6" s="0" t="s">
        <v>253</v>
      </c>
      <c r="D6" s="0" t="s">
        <v>254</v>
      </c>
      <c r="E6" s="0" t="n">
        <v>43.239081</v>
      </c>
      <c r="F6" s="0" t="s">
        <v>255</v>
      </c>
      <c r="G6" s="1" t="s">
        <v>5</v>
      </c>
      <c r="H6" s="0" t="n">
        <v>14.190743</v>
      </c>
      <c r="I6" s="0" t="s">
        <v>255</v>
      </c>
      <c r="J6" s="1" t="s">
        <v>5</v>
      </c>
      <c r="K6" s="0" t="n">
        <v>5.877469</v>
      </c>
      <c r="L6" s="0" t="s">
        <v>256</v>
      </c>
      <c r="M6" s="1" t="s">
        <v>5</v>
      </c>
      <c r="N6" s="0" t="n">
        <v>20.597633</v>
      </c>
      <c r="O6" s="0" t="s">
        <v>257</v>
      </c>
      <c r="P6" s="1" t="s">
        <v>5</v>
      </c>
      <c r="Q6" s="0" t="n">
        <v>19.01184</v>
      </c>
      <c r="R6" s="0" t="s">
        <v>51</v>
      </c>
      <c r="S6" s="1" t="s">
        <v>5</v>
      </c>
      <c r="T6" s="0" t="s">
        <v>10</v>
      </c>
      <c r="U6" s="0" t="s">
        <v>258</v>
      </c>
      <c r="V6" s="0" t="s">
        <v>254</v>
      </c>
      <c r="W6" s="0" t="n">
        <v>21.340711</v>
      </c>
      <c r="X6" s="0" t="s">
        <v>260</v>
      </c>
      <c r="Y6" s="1" t="s">
        <v>5</v>
      </c>
      <c r="Z6" s="0" t="n">
        <v>13.120294</v>
      </c>
      <c r="AA6" s="0" t="s">
        <v>261</v>
      </c>
      <c r="AB6" s="1" t="s">
        <v>5</v>
      </c>
      <c r="AC6" s="0" t="n">
        <v>3.451552</v>
      </c>
      <c r="AD6" s="0" t="s">
        <v>262</v>
      </c>
      <c r="AE6" s="1" t="s">
        <v>5</v>
      </c>
      <c r="AF6" s="0" t="n">
        <v>32.57386</v>
      </c>
      <c r="AG6" s="0" t="s">
        <v>224</v>
      </c>
      <c r="AH6" s="1" t="s">
        <v>5</v>
      </c>
      <c r="AI6" s="0" t="n">
        <v>16.488232</v>
      </c>
      <c r="AJ6" s="0" t="s">
        <v>9</v>
      </c>
      <c r="AK6" s="1" t="s">
        <v>5</v>
      </c>
      <c r="AL6" s="0" t="s">
        <v>253</v>
      </c>
      <c r="AM6" s="0" t="s">
        <v>258</v>
      </c>
      <c r="AN6" s="0" t="s">
        <v>254</v>
      </c>
      <c r="AO6" s="0" t="n">
        <v>37.274824</v>
      </c>
      <c r="AP6" s="0" t="n">
        <v>1</v>
      </c>
      <c r="AQ6" s="0" t="n">
        <v>1</v>
      </c>
      <c r="AR6" s="0" t="s">
        <v>269</v>
      </c>
      <c r="AS6" s="2" t="str">
        <f aca="false">IF(AND(G6="true",J6="true",M6="true",P6="true",S6="true"),"true","false")</f>
        <v>true</v>
      </c>
      <c r="AT6" s="0" t="str">
        <f aca="false">IF(AND(Y6="true",AB6="true",AE6="true",AH6="true",AK6="true"),"true","false")</f>
        <v>true</v>
      </c>
    </row>
    <row r="7" customFormat="false" ht="12.8" hidden="false" customHeight="false" outlineLevel="0" collapsed="false">
      <c r="A7" s="0" t="s">
        <v>270</v>
      </c>
      <c r="B7" s="0" t="s">
        <v>1</v>
      </c>
      <c r="C7" s="0" t="s">
        <v>258</v>
      </c>
      <c r="D7" s="0" t="s">
        <v>254</v>
      </c>
      <c r="E7" s="0" t="n">
        <v>23.379023</v>
      </c>
      <c r="F7" s="0" t="s">
        <v>260</v>
      </c>
      <c r="G7" s="1" t="s">
        <v>5</v>
      </c>
      <c r="H7" s="0" t="n">
        <v>10.680519</v>
      </c>
      <c r="I7" s="0" t="s">
        <v>261</v>
      </c>
      <c r="J7" s="1" t="s">
        <v>5</v>
      </c>
      <c r="K7" s="0" t="n">
        <v>7.368253</v>
      </c>
      <c r="L7" s="0" t="s">
        <v>262</v>
      </c>
      <c r="M7" s="1" t="s">
        <v>5</v>
      </c>
      <c r="N7" s="0" t="n">
        <v>30.375706</v>
      </c>
      <c r="O7" s="0" t="s">
        <v>224</v>
      </c>
      <c r="P7" s="1" t="s">
        <v>5</v>
      </c>
      <c r="Q7" s="0" t="n">
        <v>13.760426</v>
      </c>
      <c r="R7" s="0" t="s">
        <v>15</v>
      </c>
      <c r="S7" s="1" t="s">
        <v>6</v>
      </c>
      <c r="T7" s="0" t="s">
        <v>10</v>
      </c>
      <c r="U7" s="0" t="s">
        <v>253</v>
      </c>
      <c r="V7" s="0" t="s">
        <v>254</v>
      </c>
      <c r="W7" s="0" t="n">
        <v>15.195993</v>
      </c>
      <c r="X7" s="0" t="s">
        <v>255</v>
      </c>
      <c r="Y7" s="1" t="s">
        <v>5</v>
      </c>
      <c r="Z7" s="0" t="n">
        <v>21.040374</v>
      </c>
      <c r="AA7" s="0" t="s">
        <v>255</v>
      </c>
      <c r="AB7" s="1" t="s">
        <v>5</v>
      </c>
      <c r="AC7" s="0" t="n">
        <v>8.988676</v>
      </c>
      <c r="AD7" s="0" t="s">
        <v>256</v>
      </c>
      <c r="AE7" s="1" t="s">
        <v>5</v>
      </c>
      <c r="AF7" s="0" t="n">
        <v>32.411963</v>
      </c>
      <c r="AG7" s="0" t="s">
        <v>257</v>
      </c>
      <c r="AH7" s="1" t="s">
        <v>5</v>
      </c>
      <c r="AI7" s="0" t="n">
        <v>7.14905</v>
      </c>
      <c r="AJ7" s="0" t="s">
        <v>15</v>
      </c>
      <c r="AK7" s="1" t="s">
        <v>6</v>
      </c>
      <c r="AL7" s="0" t="s">
        <v>258</v>
      </c>
      <c r="AM7" s="0" t="s">
        <v>253</v>
      </c>
      <c r="AN7" s="0" t="s">
        <v>254</v>
      </c>
      <c r="AO7" s="0" t="n">
        <v>3.843211</v>
      </c>
      <c r="AP7" s="0" t="n">
        <v>0</v>
      </c>
      <c r="AQ7" s="0" t="n">
        <v>0</v>
      </c>
      <c r="AS7" s="2" t="str">
        <f aca="false">IF(AND(G7="true",J7="true",M7="true",P7="true",S7="true"),"true","false")</f>
        <v>false</v>
      </c>
      <c r="AT7" s="0" t="str">
        <f aca="false">IF(AND(Y7="true",AB7="true",AE7="true",AH7="true",AK7="true"),"true","false")</f>
        <v>false</v>
      </c>
    </row>
    <row r="8" customFormat="false" ht="24.05" hidden="false" customHeight="false" outlineLevel="0" collapsed="false">
      <c r="A8" s="0" t="s">
        <v>271</v>
      </c>
      <c r="B8" s="0" t="s">
        <v>1</v>
      </c>
      <c r="C8" s="0" t="s">
        <v>258</v>
      </c>
      <c r="D8" s="0" t="s">
        <v>254</v>
      </c>
      <c r="E8" s="0" t="n">
        <v>31.357183</v>
      </c>
      <c r="F8" s="0" t="s">
        <v>260</v>
      </c>
      <c r="G8" s="1" t="s">
        <v>5</v>
      </c>
      <c r="H8" s="0" t="n">
        <v>10.918233</v>
      </c>
      <c r="I8" s="0" t="s">
        <v>261</v>
      </c>
      <c r="J8" s="1" t="s">
        <v>5</v>
      </c>
      <c r="K8" s="0" t="n">
        <v>7.05061</v>
      </c>
      <c r="L8" s="0" t="s">
        <v>262</v>
      </c>
      <c r="M8" s="1" t="s">
        <v>5</v>
      </c>
      <c r="N8" s="0" t="n">
        <v>32.787219</v>
      </c>
      <c r="O8" s="0" t="s">
        <v>224</v>
      </c>
      <c r="P8" s="1" t="s">
        <v>5</v>
      </c>
      <c r="Q8" s="0" t="n">
        <v>18.518131</v>
      </c>
      <c r="R8" s="0" t="s">
        <v>9</v>
      </c>
      <c r="S8" s="1" t="s">
        <v>6</v>
      </c>
      <c r="T8" s="0" t="s">
        <v>10</v>
      </c>
      <c r="U8" s="0" t="s">
        <v>253</v>
      </c>
      <c r="V8" s="0" t="s">
        <v>254</v>
      </c>
      <c r="W8" s="0" t="n">
        <v>37.088292</v>
      </c>
      <c r="X8" s="0" t="s">
        <v>255</v>
      </c>
      <c r="Y8" s="1" t="s">
        <v>5</v>
      </c>
      <c r="Z8" s="0" t="n">
        <v>51.654746</v>
      </c>
      <c r="AA8" s="0" t="s">
        <v>256</v>
      </c>
      <c r="AB8" s="1" t="s">
        <v>6</v>
      </c>
      <c r="AC8" s="0" t="n">
        <v>9.382521</v>
      </c>
      <c r="AD8" s="0" t="s">
        <v>264</v>
      </c>
      <c r="AE8" s="1" t="s">
        <v>6</v>
      </c>
      <c r="AF8" s="0" t="n">
        <v>16.062564</v>
      </c>
      <c r="AG8" s="0" t="s">
        <v>257</v>
      </c>
      <c r="AH8" s="1" t="s">
        <v>5</v>
      </c>
      <c r="AI8" s="0" t="n">
        <v>4.224075</v>
      </c>
      <c r="AJ8" s="0" t="s">
        <v>9</v>
      </c>
      <c r="AK8" s="1" t="s">
        <v>5</v>
      </c>
      <c r="AL8" s="0" t="s">
        <v>258</v>
      </c>
      <c r="AM8" s="0" t="s">
        <v>253</v>
      </c>
      <c r="AN8" s="0" t="s">
        <v>254</v>
      </c>
      <c r="AO8" s="0" t="n">
        <v>39.508578</v>
      </c>
      <c r="AP8" s="0" t="n">
        <v>1</v>
      </c>
      <c r="AQ8" s="0" t="n">
        <v>1</v>
      </c>
      <c r="AR8" s="3" t="s">
        <v>272</v>
      </c>
      <c r="AS8" s="2" t="str">
        <f aca="false">IF(AND(G8="true",J8="true",M8="true",P8="true",S8="true"),"true","false")</f>
        <v>false</v>
      </c>
      <c r="AT8" s="0" t="str">
        <f aca="false">IF(AND(Y8="true",AB8="true",AE8="true",AH8="true",AK8="true"),"true","false")</f>
        <v>false</v>
      </c>
    </row>
    <row r="9" customFormat="false" ht="12.8" hidden="false" customHeight="false" outlineLevel="0" collapsed="false">
      <c r="A9" s="0" t="s">
        <v>273</v>
      </c>
      <c r="B9" s="0" t="s">
        <v>1</v>
      </c>
      <c r="C9" s="0" t="s">
        <v>253</v>
      </c>
      <c r="D9" s="0" t="s">
        <v>254</v>
      </c>
      <c r="E9" s="0" t="n">
        <v>22.462917</v>
      </c>
      <c r="F9" s="0" t="s">
        <v>255</v>
      </c>
      <c r="G9" s="1" t="s">
        <v>5</v>
      </c>
      <c r="H9" s="0" t="n">
        <v>20.046525</v>
      </c>
      <c r="I9" s="0" t="s">
        <v>255</v>
      </c>
      <c r="J9" s="1" t="s">
        <v>5</v>
      </c>
      <c r="K9" s="0" t="n">
        <v>5.25544</v>
      </c>
      <c r="L9" s="0" t="s">
        <v>256</v>
      </c>
      <c r="M9" s="1" t="s">
        <v>5</v>
      </c>
      <c r="N9" s="0" t="n">
        <v>15.735987</v>
      </c>
      <c r="O9" s="0" t="s">
        <v>257</v>
      </c>
      <c r="P9" s="1" t="s">
        <v>5</v>
      </c>
      <c r="Q9" s="0" t="n">
        <v>11.31418</v>
      </c>
      <c r="R9" s="0" t="s">
        <v>51</v>
      </c>
      <c r="S9" s="1" t="s">
        <v>5</v>
      </c>
      <c r="T9" s="0" t="s">
        <v>10</v>
      </c>
      <c r="U9" s="0" t="s">
        <v>258</v>
      </c>
      <c r="V9" s="0" t="s">
        <v>254</v>
      </c>
      <c r="W9" s="0" t="n">
        <v>14.482483</v>
      </c>
      <c r="X9" s="0" t="s">
        <v>260</v>
      </c>
      <c r="Y9" s="1" t="s">
        <v>5</v>
      </c>
      <c r="Z9" s="0" t="n">
        <v>7.275683</v>
      </c>
      <c r="AA9" s="0" t="s">
        <v>262</v>
      </c>
      <c r="AB9" s="1" t="s">
        <v>6</v>
      </c>
      <c r="AC9" s="0" t="n">
        <v>6.493524</v>
      </c>
      <c r="AD9" s="0" t="s">
        <v>261</v>
      </c>
      <c r="AE9" s="1" t="s">
        <v>6</v>
      </c>
      <c r="AF9" s="0" t="n">
        <v>39.376643</v>
      </c>
      <c r="AG9" s="0" t="s">
        <v>224</v>
      </c>
      <c r="AH9" s="1" t="s">
        <v>5</v>
      </c>
      <c r="AI9" s="0" t="n">
        <v>7.855114</v>
      </c>
      <c r="AJ9" s="0" t="s">
        <v>15</v>
      </c>
      <c r="AK9" s="1" t="s">
        <v>6</v>
      </c>
      <c r="AL9" s="0" t="s">
        <v>253</v>
      </c>
      <c r="AM9" s="0" t="s">
        <v>258</v>
      </c>
      <c r="AN9" s="0" t="s">
        <v>254</v>
      </c>
      <c r="AO9" s="0" t="n">
        <v>7.500933</v>
      </c>
      <c r="AP9" s="0" t="n">
        <v>-1</v>
      </c>
      <c r="AQ9" s="0" t="n">
        <v>0</v>
      </c>
      <c r="AS9" s="2" t="str">
        <f aca="false">IF(AND(G9="true",J9="true",M9="true",P9="true",S9="true"),"true","false")</f>
        <v>true</v>
      </c>
      <c r="AT9" s="0" t="str">
        <f aca="false">IF(AND(Y9="true",AB9="true",AE9="true",AH9="true",AK9="true"),"true","false")</f>
        <v>false</v>
      </c>
    </row>
    <row r="10" customFormat="false" ht="12.8" hidden="false" customHeight="false" outlineLevel="0" collapsed="false">
      <c r="A10" s="0" t="s">
        <v>274</v>
      </c>
      <c r="B10" s="0" t="s">
        <v>1</v>
      </c>
      <c r="C10" s="0" t="s">
        <v>258</v>
      </c>
      <c r="D10" s="0" t="s">
        <v>254</v>
      </c>
      <c r="E10" s="0" t="n">
        <v>18.578594</v>
      </c>
      <c r="F10" s="0" t="s">
        <v>260</v>
      </c>
      <c r="G10" s="1" t="s">
        <v>5</v>
      </c>
      <c r="H10" s="0" t="n">
        <v>17.444745</v>
      </c>
      <c r="I10" s="0" t="s">
        <v>261</v>
      </c>
      <c r="J10" s="1" t="s">
        <v>5</v>
      </c>
      <c r="K10" s="0" t="n">
        <v>2.14167</v>
      </c>
      <c r="L10" s="0" t="s">
        <v>262</v>
      </c>
      <c r="M10" s="1" t="s">
        <v>5</v>
      </c>
      <c r="N10" s="0" t="n">
        <v>20.314361</v>
      </c>
      <c r="O10" s="0" t="s">
        <v>224</v>
      </c>
      <c r="P10" s="1" t="s">
        <v>5</v>
      </c>
      <c r="Q10" s="0" t="n">
        <v>29.690455</v>
      </c>
      <c r="R10" s="0" t="s">
        <v>9</v>
      </c>
      <c r="S10" s="1" t="s">
        <v>6</v>
      </c>
      <c r="T10" s="0" t="s">
        <v>10</v>
      </c>
      <c r="U10" s="0" t="s">
        <v>253</v>
      </c>
      <c r="V10" s="0" t="s">
        <v>254</v>
      </c>
      <c r="W10" s="0" t="n">
        <v>57.525618</v>
      </c>
      <c r="X10" s="0" t="s">
        <v>255</v>
      </c>
      <c r="Y10" s="1" t="s">
        <v>5</v>
      </c>
      <c r="Z10" s="0" t="n">
        <v>10.095247</v>
      </c>
      <c r="AA10" s="0" t="s">
        <v>264</v>
      </c>
      <c r="AB10" s="1" t="s">
        <v>6</v>
      </c>
      <c r="AC10" s="0" t="n">
        <v>17.914451</v>
      </c>
      <c r="AD10" s="0" t="s">
        <v>256</v>
      </c>
      <c r="AE10" s="1" t="s">
        <v>5</v>
      </c>
      <c r="AF10" s="0" t="n">
        <v>23.555412</v>
      </c>
      <c r="AG10" s="0" t="s">
        <v>257</v>
      </c>
      <c r="AH10" s="1" t="s">
        <v>5</v>
      </c>
      <c r="AI10" s="0" t="n">
        <v>28.688243</v>
      </c>
      <c r="AJ10" s="0" t="s">
        <v>15</v>
      </c>
      <c r="AK10" s="1" t="s">
        <v>6</v>
      </c>
      <c r="AL10" s="0" t="s">
        <v>258</v>
      </c>
      <c r="AM10" s="0" t="s">
        <v>253</v>
      </c>
      <c r="AN10" s="0" t="s">
        <v>254</v>
      </c>
      <c r="AO10" s="0" t="n">
        <v>7.624775</v>
      </c>
      <c r="AP10" s="0" t="n">
        <v>1</v>
      </c>
      <c r="AQ10" s="0" t="n">
        <v>1</v>
      </c>
      <c r="AS10" s="2" t="str">
        <f aca="false">IF(AND(G10="true",J10="true",M10="true",P10="true",S10="true"),"true","false")</f>
        <v>false</v>
      </c>
      <c r="AT10" s="0" t="str">
        <f aca="false">IF(AND(Y10="true",AB10="true",AE10="true",AH10="true",AK10="true"),"true","false")</f>
        <v>false</v>
      </c>
    </row>
    <row r="11" customFormat="false" ht="12.8" hidden="false" customHeight="false" outlineLevel="0" collapsed="false">
      <c r="A11" s="0" t="s">
        <v>275</v>
      </c>
      <c r="B11" s="0" t="s">
        <v>1</v>
      </c>
      <c r="C11" s="0" t="s">
        <v>258</v>
      </c>
      <c r="D11" s="0" t="s">
        <v>254</v>
      </c>
      <c r="E11" s="0" t="n">
        <v>18.600328</v>
      </c>
      <c r="F11" s="0" t="s">
        <v>261</v>
      </c>
      <c r="G11" s="1" t="s">
        <v>6</v>
      </c>
      <c r="H11" s="0" t="n">
        <v>13.917748</v>
      </c>
      <c r="I11" s="0" t="s">
        <v>261</v>
      </c>
      <c r="J11" s="1" t="s">
        <v>5</v>
      </c>
      <c r="K11" s="0" t="n">
        <v>6.519898</v>
      </c>
      <c r="L11" s="0" t="s">
        <v>262</v>
      </c>
      <c r="M11" s="1" t="s">
        <v>5</v>
      </c>
      <c r="N11" s="0" t="n">
        <v>26.462681</v>
      </c>
      <c r="O11" s="0" t="s">
        <v>224</v>
      </c>
      <c r="P11" s="1" t="s">
        <v>5</v>
      </c>
      <c r="Q11" s="0" t="n">
        <v>15.303386</v>
      </c>
      <c r="R11" s="0" t="s">
        <v>9</v>
      </c>
      <c r="S11" s="1" t="s">
        <v>6</v>
      </c>
      <c r="T11" s="0" t="s">
        <v>10</v>
      </c>
      <c r="U11" s="0" t="s">
        <v>253</v>
      </c>
      <c r="V11" s="0" t="s">
        <v>254</v>
      </c>
      <c r="W11" s="0" t="n">
        <v>13.341643</v>
      </c>
      <c r="X11" s="0" t="s">
        <v>255</v>
      </c>
      <c r="Y11" s="1" t="s">
        <v>5</v>
      </c>
      <c r="Z11" s="0" t="n">
        <v>10.901343</v>
      </c>
      <c r="AA11" s="0" t="s">
        <v>264</v>
      </c>
      <c r="AB11" s="1" t="s">
        <v>6</v>
      </c>
      <c r="AC11" s="0" t="n">
        <v>10.777718</v>
      </c>
      <c r="AE11" s="1" t="s">
        <v>6</v>
      </c>
      <c r="AF11" s="0" t="n">
        <v>44.600837</v>
      </c>
      <c r="AG11" s="0" t="s">
        <v>276</v>
      </c>
      <c r="AH11" s="1" t="s">
        <v>6</v>
      </c>
      <c r="AI11" s="0" t="n">
        <v>31.481471</v>
      </c>
      <c r="AJ11" s="0" t="s">
        <v>9</v>
      </c>
      <c r="AK11" s="1" t="s">
        <v>5</v>
      </c>
      <c r="AL11" s="0" t="s">
        <v>258</v>
      </c>
      <c r="AM11" s="0" t="s">
        <v>253</v>
      </c>
      <c r="AN11" s="0" t="s">
        <v>254</v>
      </c>
      <c r="AO11" s="0" t="n">
        <v>93.241386</v>
      </c>
      <c r="AP11" s="0" t="n">
        <v>0</v>
      </c>
      <c r="AQ11" s="0" t="n">
        <v>1</v>
      </c>
      <c r="AR11" s="0" t="s">
        <v>277</v>
      </c>
      <c r="AS11" s="2" t="str">
        <f aca="false">IF(AND(G11="true",J11="true",M11="true",P11="true",S11="true"),"true","false")</f>
        <v>false</v>
      </c>
      <c r="AT11" s="0" t="str">
        <f aca="false">IF(AND(Y11="true",AB11="true",AE11="true",AH11="true",AK11="true"),"true","false")</f>
        <v>false</v>
      </c>
    </row>
    <row r="12" customFormat="false" ht="12.8" hidden="false" customHeight="false" outlineLevel="0" collapsed="false">
      <c r="A12" s="0" t="s">
        <v>278</v>
      </c>
      <c r="B12" s="0" t="s">
        <v>1</v>
      </c>
      <c r="C12" s="0" t="s">
        <v>258</v>
      </c>
      <c r="D12" s="0" t="s">
        <v>254</v>
      </c>
      <c r="E12" s="0" t="n">
        <v>32.35675</v>
      </c>
      <c r="F12" s="0" t="s">
        <v>260</v>
      </c>
      <c r="G12" s="1" t="s">
        <v>5</v>
      </c>
      <c r="H12" s="0" t="n">
        <v>27.526864</v>
      </c>
      <c r="I12" s="0" t="s">
        <v>261</v>
      </c>
      <c r="J12" s="1" t="s">
        <v>5</v>
      </c>
      <c r="K12" s="0" t="n">
        <v>4.374282</v>
      </c>
      <c r="L12" s="0" t="s">
        <v>262</v>
      </c>
      <c r="M12" s="1" t="s">
        <v>5</v>
      </c>
      <c r="N12" s="0" t="n">
        <v>18.906382</v>
      </c>
      <c r="O12" s="0" t="s">
        <v>224</v>
      </c>
      <c r="P12" s="1" t="s">
        <v>5</v>
      </c>
      <c r="Q12" s="0" t="n">
        <v>11.950849</v>
      </c>
      <c r="R12" s="0" t="s">
        <v>9</v>
      </c>
      <c r="S12" s="1" t="s">
        <v>6</v>
      </c>
      <c r="T12" s="0" t="s">
        <v>10</v>
      </c>
      <c r="U12" s="0" t="s">
        <v>253</v>
      </c>
      <c r="V12" s="0" t="s">
        <v>254</v>
      </c>
      <c r="W12" s="0" t="n">
        <v>30.474758</v>
      </c>
      <c r="X12" s="0" t="s">
        <v>255</v>
      </c>
      <c r="Y12" s="1" t="s">
        <v>5</v>
      </c>
      <c r="Z12" s="0" t="n">
        <v>16.822454</v>
      </c>
      <c r="AA12" s="0" t="s">
        <v>255</v>
      </c>
      <c r="AB12" s="1" t="s">
        <v>5</v>
      </c>
      <c r="AC12" s="0" t="n">
        <v>4.681529</v>
      </c>
      <c r="AD12" s="0" t="s">
        <v>256</v>
      </c>
      <c r="AE12" s="1" t="s">
        <v>5</v>
      </c>
      <c r="AF12" s="0" t="n">
        <v>24.347635</v>
      </c>
      <c r="AG12" s="0" t="s">
        <v>257</v>
      </c>
      <c r="AH12" s="1" t="s">
        <v>5</v>
      </c>
      <c r="AI12" s="0" t="n">
        <v>18.455294</v>
      </c>
      <c r="AJ12" s="0" t="s">
        <v>15</v>
      </c>
      <c r="AK12" s="1" t="s">
        <v>6</v>
      </c>
      <c r="AL12" s="0" t="s">
        <v>258</v>
      </c>
      <c r="AM12" s="0" t="s">
        <v>253</v>
      </c>
      <c r="AN12" s="0" t="s">
        <v>254</v>
      </c>
      <c r="AO12" s="0" t="n">
        <v>12.983451</v>
      </c>
      <c r="AP12" s="0" t="n">
        <v>1</v>
      </c>
      <c r="AQ12" s="0" t="n">
        <v>0</v>
      </c>
      <c r="AS12" s="2" t="str">
        <f aca="false">IF(AND(G12="true",J12="true",M12="true",P12="true",S12="true"),"true","false")</f>
        <v>false</v>
      </c>
      <c r="AT12" s="0" t="str">
        <f aca="false">IF(AND(Y12="true",AB12="true",AE12="true",AH12="true",AK12="true"),"true","false")</f>
        <v>false</v>
      </c>
    </row>
    <row r="13" customFormat="false" ht="12.8" hidden="false" customHeight="false" outlineLevel="0" collapsed="false">
      <c r="A13" s="0" t="s">
        <v>279</v>
      </c>
      <c r="B13" s="0" t="s">
        <v>1</v>
      </c>
      <c r="C13" s="0" t="s">
        <v>253</v>
      </c>
      <c r="D13" s="0" t="s">
        <v>254</v>
      </c>
      <c r="E13" s="0" t="n">
        <v>16.110353</v>
      </c>
      <c r="F13" s="0" t="s">
        <v>255</v>
      </c>
      <c r="G13" s="1" t="s">
        <v>5</v>
      </c>
      <c r="H13" s="0" t="n">
        <v>12.108394</v>
      </c>
      <c r="I13" s="0" t="s">
        <v>255</v>
      </c>
      <c r="J13" s="1" t="s">
        <v>5</v>
      </c>
      <c r="K13" s="0" t="n">
        <v>5.364584</v>
      </c>
      <c r="L13" s="0" t="s">
        <v>256</v>
      </c>
      <c r="M13" s="1" t="s">
        <v>5</v>
      </c>
      <c r="N13" s="0" t="n">
        <v>13.751907</v>
      </c>
      <c r="O13" s="0" t="s">
        <v>257</v>
      </c>
      <c r="P13" s="1" t="s">
        <v>5</v>
      </c>
      <c r="Q13" s="0" t="n">
        <v>9.467344</v>
      </c>
      <c r="R13" s="0" t="s">
        <v>15</v>
      </c>
      <c r="S13" s="1" t="s">
        <v>6</v>
      </c>
      <c r="T13" s="0" t="s">
        <v>10</v>
      </c>
      <c r="U13" s="0" t="s">
        <v>258</v>
      </c>
      <c r="V13" s="0" t="s">
        <v>254</v>
      </c>
      <c r="W13" s="0" t="n">
        <v>20.180206</v>
      </c>
      <c r="X13" s="0" t="s">
        <v>260</v>
      </c>
      <c r="Y13" s="1" t="s">
        <v>5</v>
      </c>
      <c r="Z13" s="0" t="n">
        <v>10.06326</v>
      </c>
      <c r="AA13" s="0" t="s">
        <v>261</v>
      </c>
      <c r="AB13" s="1" t="s">
        <v>5</v>
      </c>
      <c r="AC13" s="0" t="n">
        <v>2.839556</v>
      </c>
      <c r="AD13" s="0" t="s">
        <v>262</v>
      </c>
      <c r="AE13" s="1" t="s">
        <v>5</v>
      </c>
      <c r="AF13" s="0" t="n">
        <v>17.67411</v>
      </c>
      <c r="AG13" s="0" t="s">
        <v>224</v>
      </c>
      <c r="AH13" s="1" t="s">
        <v>5</v>
      </c>
      <c r="AI13" s="0" t="n">
        <v>4.350744</v>
      </c>
      <c r="AJ13" s="0" t="s">
        <v>51</v>
      </c>
      <c r="AK13" s="1" t="s">
        <v>6</v>
      </c>
      <c r="AL13" s="0" t="s">
        <v>253</v>
      </c>
      <c r="AM13" s="0" t="s">
        <v>258</v>
      </c>
      <c r="AN13" s="0" t="s">
        <v>254</v>
      </c>
      <c r="AO13" s="0" t="n">
        <v>16.630468</v>
      </c>
      <c r="AP13" s="0" t="n">
        <v>1</v>
      </c>
      <c r="AQ13" s="0" t="n">
        <v>-2</v>
      </c>
      <c r="AR13" s="0" t="s">
        <v>280</v>
      </c>
      <c r="AS13" s="2" t="str">
        <f aca="false">IF(AND(G13="true",J13="true",M13="true",P13="true",S13="true"),"true","false")</f>
        <v>false</v>
      </c>
      <c r="AT13" s="0" t="str">
        <f aca="false">IF(AND(Y13="true",AB13="true",AE13="true",AH13="true",AK13="true"),"true","false")</f>
        <v>false</v>
      </c>
    </row>
    <row r="14" customFormat="false" ht="12.8" hidden="false" customHeight="false" outlineLevel="0" collapsed="false">
      <c r="A14" s="0" t="s">
        <v>281</v>
      </c>
      <c r="B14" s="0" t="s">
        <v>1</v>
      </c>
      <c r="C14" s="0" t="s">
        <v>253</v>
      </c>
      <c r="D14" s="0" t="s">
        <v>254</v>
      </c>
      <c r="E14" s="0" t="n">
        <v>28.854383</v>
      </c>
      <c r="F14" s="0" t="s">
        <v>255</v>
      </c>
      <c r="G14" s="1" t="s">
        <v>5</v>
      </c>
      <c r="H14" s="0" t="n">
        <v>11.899432</v>
      </c>
      <c r="I14" s="0" t="s">
        <v>255</v>
      </c>
      <c r="J14" s="1" t="s">
        <v>5</v>
      </c>
      <c r="K14" s="0" t="n">
        <v>5.197941</v>
      </c>
      <c r="L14" s="0" t="s">
        <v>256</v>
      </c>
      <c r="M14" s="1" t="s">
        <v>5</v>
      </c>
      <c r="N14" s="0" t="n">
        <v>27.698164</v>
      </c>
      <c r="O14" s="0" t="s">
        <v>257</v>
      </c>
      <c r="P14" s="1" t="s">
        <v>5</v>
      </c>
      <c r="Q14" s="0" t="n">
        <v>11.644679</v>
      </c>
      <c r="R14" s="0" t="s">
        <v>15</v>
      </c>
      <c r="S14" s="1" t="s">
        <v>6</v>
      </c>
      <c r="T14" s="0" t="s">
        <v>10</v>
      </c>
      <c r="U14" s="0" t="s">
        <v>258</v>
      </c>
      <c r="V14" s="0" t="s">
        <v>254</v>
      </c>
      <c r="W14" s="0" t="n">
        <v>32.389368</v>
      </c>
      <c r="X14" s="0" t="s">
        <v>260</v>
      </c>
      <c r="Y14" s="1" t="s">
        <v>5</v>
      </c>
      <c r="Z14" s="0" t="n">
        <v>16.572142</v>
      </c>
      <c r="AA14" s="0" t="s">
        <v>261</v>
      </c>
      <c r="AB14" s="1" t="s">
        <v>5</v>
      </c>
      <c r="AC14" s="0" t="n">
        <v>3.139401</v>
      </c>
      <c r="AD14" s="0" t="s">
        <v>262</v>
      </c>
      <c r="AE14" s="1" t="s">
        <v>5</v>
      </c>
      <c r="AF14" s="0" t="n">
        <v>30.576227</v>
      </c>
      <c r="AG14" s="0" t="s">
        <v>224</v>
      </c>
      <c r="AH14" s="1" t="s">
        <v>5</v>
      </c>
      <c r="AI14" s="0" t="n">
        <v>11.546899</v>
      </c>
      <c r="AJ14" s="0" t="s">
        <v>9</v>
      </c>
      <c r="AK14" s="1" t="s">
        <v>5</v>
      </c>
      <c r="AL14" s="0" t="s">
        <v>253</v>
      </c>
      <c r="AM14" s="0" t="s">
        <v>258</v>
      </c>
      <c r="AN14" s="0" t="s">
        <v>254</v>
      </c>
      <c r="AO14" s="0" t="n">
        <v>10.729805</v>
      </c>
      <c r="AP14" s="0" t="n">
        <v>1</v>
      </c>
      <c r="AQ14" s="0" t="n">
        <v>-1</v>
      </c>
      <c r="AS14" s="2" t="str">
        <f aca="false">IF(AND(G14="true",J14="true",M14="true",P14="true",S14="true"),"true","false")</f>
        <v>false</v>
      </c>
      <c r="AT14" s="0" t="str">
        <f aca="false">IF(AND(Y14="true",AB14="true",AE14="true",AH14="true",AK14="true"),"true","false")</f>
        <v>true</v>
      </c>
    </row>
    <row r="15" customFormat="false" ht="12.8" hidden="false" customHeight="false" outlineLevel="0" collapsed="false">
      <c r="A15" s="0" t="s">
        <v>282</v>
      </c>
      <c r="B15" s="0" t="s">
        <v>1</v>
      </c>
      <c r="C15" s="0" t="s">
        <v>253</v>
      </c>
      <c r="D15" s="0" t="s">
        <v>254</v>
      </c>
      <c r="E15" s="0" t="n">
        <v>16.680694</v>
      </c>
      <c r="F15" s="0" t="s">
        <v>255</v>
      </c>
      <c r="G15" s="1" t="s">
        <v>5</v>
      </c>
      <c r="H15" s="0" t="n">
        <v>17.578306</v>
      </c>
      <c r="I15" s="0" t="s">
        <v>255</v>
      </c>
      <c r="J15" s="1" t="s">
        <v>5</v>
      </c>
      <c r="K15" s="0" t="n">
        <v>6.841447</v>
      </c>
      <c r="L15" s="0" t="s">
        <v>256</v>
      </c>
      <c r="M15" s="1" t="s">
        <v>5</v>
      </c>
      <c r="N15" s="0" t="n">
        <v>26.336828</v>
      </c>
      <c r="O15" s="0" t="s">
        <v>257</v>
      </c>
      <c r="P15" s="1" t="s">
        <v>5</v>
      </c>
      <c r="Q15" s="0" t="n">
        <v>17.568093</v>
      </c>
      <c r="R15" s="0" t="s">
        <v>15</v>
      </c>
      <c r="S15" s="1" t="s">
        <v>6</v>
      </c>
      <c r="T15" s="0" t="s">
        <v>10</v>
      </c>
      <c r="U15" s="0" t="s">
        <v>258</v>
      </c>
      <c r="V15" s="0" t="s">
        <v>254</v>
      </c>
      <c r="W15" s="0" t="n">
        <v>13.117887</v>
      </c>
      <c r="X15" s="0" t="s">
        <v>260</v>
      </c>
      <c r="Y15" s="1" t="s">
        <v>5</v>
      </c>
      <c r="Z15" s="0" t="n">
        <v>7.145594</v>
      </c>
      <c r="AA15" s="0" t="s">
        <v>261</v>
      </c>
      <c r="AB15" s="1" t="s">
        <v>5</v>
      </c>
      <c r="AC15" s="0" t="n">
        <v>4.738141</v>
      </c>
      <c r="AD15" s="0" t="s">
        <v>262</v>
      </c>
      <c r="AE15" s="1" t="s">
        <v>5</v>
      </c>
      <c r="AF15" s="0" t="n">
        <v>16.620975</v>
      </c>
      <c r="AG15" s="0" t="s">
        <v>224</v>
      </c>
      <c r="AH15" s="1" t="s">
        <v>5</v>
      </c>
      <c r="AI15" s="0" t="n">
        <v>18.262874</v>
      </c>
      <c r="AJ15" s="0" t="s">
        <v>9</v>
      </c>
      <c r="AK15" s="1" t="s">
        <v>5</v>
      </c>
      <c r="AL15" s="0" t="s">
        <v>253</v>
      </c>
      <c r="AM15" s="0" t="s">
        <v>258</v>
      </c>
      <c r="AN15" s="0" t="s">
        <v>254</v>
      </c>
      <c r="AO15" s="0" t="n">
        <v>5.271617</v>
      </c>
      <c r="AP15" s="0" t="n">
        <v>0</v>
      </c>
      <c r="AQ15" s="0" t="n">
        <v>0</v>
      </c>
      <c r="AS15" s="2" t="str">
        <f aca="false">IF(AND(G15="true",J15="true",M15="true",P15="true",S15="true"),"true","false")</f>
        <v>false</v>
      </c>
      <c r="AT15" s="0" t="str">
        <f aca="false">IF(AND(Y15="true",AB15="true",AE15="true",AH15="true",AK15="true"),"true","false")</f>
        <v>true</v>
      </c>
    </row>
    <row r="16" customFormat="false" ht="12.8" hidden="false" customHeight="false" outlineLevel="0" collapsed="false">
      <c r="A16" s="0" t="s">
        <v>283</v>
      </c>
      <c r="B16" s="0" t="s">
        <v>1</v>
      </c>
      <c r="C16" s="0" t="s">
        <v>258</v>
      </c>
      <c r="D16" s="0" t="s">
        <v>254</v>
      </c>
      <c r="E16" s="0" t="n">
        <v>11.725645</v>
      </c>
      <c r="F16" s="0" t="s">
        <v>260</v>
      </c>
      <c r="G16" s="1" t="s">
        <v>5</v>
      </c>
      <c r="H16" s="0" t="n">
        <v>9.114169</v>
      </c>
      <c r="I16" s="0" t="s">
        <v>261</v>
      </c>
      <c r="J16" s="1" t="s">
        <v>5</v>
      </c>
      <c r="K16" s="0" t="n">
        <v>6.603715</v>
      </c>
      <c r="L16" s="0" t="s">
        <v>262</v>
      </c>
      <c r="M16" s="1" t="s">
        <v>5</v>
      </c>
      <c r="N16" s="0" t="n">
        <v>17.160453</v>
      </c>
      <c r="O16" s="0" t="s">
        <v>224</v>
      </c>
      <c r="P16" s="1" t="s">
        <v>5</v>
      </c>
      <c r="Q16" s="0" t="n">
        <v>13.761982</v>
      </c>
      <c r="R16" s="0" t="s">
        <v>9</v>
      </c>
      <c r="S16" s="1" t="s">
        <v>6</v>
      </c>
      <c r="T16" s="0" t="s">
        <v>10</v>
      </c>
      <c r="U16" s="0" t="s">
        <v>253</v>
      </c>
      <c r="V16" s="0" t="s">
        <v>254</v>
      </c>
      <c r="W16" s="0" t="n">
        <v>16.757507</v>
      </c>
      <c r="X16" s="0" t="s">
        <v>255</v>
      </c>
      <c r="Y16" s="1" t="s">
        <v>5</v>
      </c>
      <c r="Z16" s="0" t="n">
        <v>24.414483</v>
      </c>
      <c r="AA16" s="0" t="s">
        <v>284</v>
      </c>
      <c r="AB16" s="1" t="s">
        <v>6</v>
      </c>
      <c r="AC16" s="0" t="n">
        <v>9.332568</v>
      </c>
      <c r="AD16" s="0" t="s">
        <v>256</v>
      </c>
      <c r="AE16" s="1" t="s">
        <v>5</v>
      </c>
      <c r="AF16" s="0" t="n">
        <v>23.547241</v>
      </c>
      <c r="AG16" s="0" t="s">
        <v>285</v>
      </c>
      <c r="AH16" s="1" t="s">
        <v>6</v>
      </c>
      <c r="AI16" s="0" t="n">
        <v>15.185542</v>
      </c>
      <c r="AJ16" s="0" t="s">
        <v>15</v>
      </c>
      <c r="AK16" s="1" t="s">
        <v>6</v>
      </c>
      <c r="AL16" s="0" t="s">
        <v>258</v>
      </c>
      <c r="AM16" s="0" t="s">
        <v>253</v>
      </c>
      <c r="AN16" s="0" t="s">
        <v>254</v>
      </c>
      <c r="AO16" s="0" t="n">
        <v>127.7154</v>
      </c>
      <c r="AP16" s="0" t="n">
        <v>0</v>
      </c>
      <c r="AQ16" s="0" t="n">
        <v>1</v>
      </c>
      <c r="AR16" s="0" t="s">
        <v>286</v>
      </c>
      <c r="AS16" s="2" t="str">
        <f aca="false">IF(AND(G16="true",J16="true",M16="true",P16="true",S16="true"),"true","false")</f>
        <v>false</v>
      </c>
      <c r="AT16" s="0" t="str">
        <f aca="false">IF(AND(Y16="true",AB16="true",AE16="true",AH16="true",AK16="true"),"true","false")</f>
        <v>false</v>
      </c>
    </row>
    <row r="17" customFormat="false" ht="12.8" hidden="false" customHeight="false" outlineLevel="0" collapsed="false">
      <c r="A17" s="0" t="s">
        <v>287</v>
      </c>
      <c r="B17" s="0" t="s">
        <v>1</v>
      </c>
      <c r="C17" s="0" t="s">
        <v>253</v>
      </c>
      <c r="D17" s="0" t="s">
        <v>254</v>
      </c>
      <c r="E17" s="0" t="n">
        <v>35.150485</v>
      </c>
      <c r="F17" s="0" t="s">
        <v>255</v>
      </c>
      <c r="G17" s="1" t="s">
        <v>5</v>
      </c>
      <c r="H17" s="0" t="n">
        <v>42.378009</v>
      </c>
      <c r="I17" s="0" t="s">
        <v>255</v>
      </c>
      <c r="J17" s="1" t="s">
        <v>5</v>
      </c>
      <c r="K17" s="0" t="n">
        <v>10.573</v>
      </c>
      <c r="L17" s="0" t="s">
        <v>256</v>
      </c>
      <c r="M17" s="1" t="s">
        <v>5</v>
      </c>
      <c r="N17" s="0" t="n">
        <v>78.450568</v>
      </c>
      <c r="O17" s="0" t="s">
        <v>257</v>
      </c>
      <c r="P17" s="1" t="s">
        <v>5</v>
      </c>
      <c r="Q17" s="0" t="n">
        <v>3.432378</v>
      </c>
      <c r="R17" s="0" t="s">
        <v>15</v>
      </c>
      <c r="S17" s="1" t="s">
        <v>6</v>
      </c>
      <c r="T17" s="0" t="s">
        <v>10</v>
      </c>
      <c r="U17" s="0" t="s">
        <v>258</v>
      </c>
      <c r="V17" s="0" t="s">
        <v>254</v>
      </c>
      <c r="W17" s="0" t="n">
        <v>48.722237</v>
      </c>
      <c r="X17" s="0" t="s">
        <v>260</v>
      </c>
      <c r="Y17" s="1" t="s">
        <v>5</v>
      </c>
      <c r="Z17" s="0" t="n">
        <v>14.038167</v>
      </c>
      <c r="AA17" s="0" t="s">
        <v>261</v>
      </c>
      <c r="AB17" s="1" t="s">
        <v>5</v>
      </c>
      <c r="AC17" s="0" t="n">
        <v>5.684687</v>
      </c>
      <c r="AD17" s="0" t="s">
        <v>262</v>
      </c>
      <c r="AE17" s="1" t="s">
        <v>5</v>
      </c>
      <c r="AF17" s="0" t="n">
        <v>16.24396</v>
      </c>
      <c r="AG17" s="0" t="s">
        <v>224</v>
      </c>
      <c r="AH17" s="1" t="s">
        <v>5</v>
      </c>
      <c r="AI17" s="0" t="n">
        <v>4.199043</v>
      </c>
      <c r="AJ17" s="0" t="s">
        <v>15</v>
      </c>
      <c r="AK17" s="1" t="s">
        <v>6</v>
      </c>
      <c r="AL17" s="0" t="s">
        <v>253</v>
      </c>
      <c r="AM17" s="0" t="s">
        <v>258</v>
      </c>
      <c r="AN17" s="0" t="s">
        <v>254</v>
      </c>
      <c r="AO17" s="0" t="n">
        <v>7.492957</v>
      </c>
      <c r="AP17" s="0" t="n">
        <v>0</v>
      </c>
      <c r="AQ17" s="0" t="n">
        <v>1</v>
      </c>
      <c r="AS17" s="2" t="str">
        <f aca="false">IF(AND(G17="true",J17="true",M17="true",P17="true",S17="true"),"true","false")</f>
        <v>false</v>
      </c>
      <c r="AT17" s="0" t="str">
        <f aca="false">IF(AND(Y17="true",AB17="true",AE17="true",AH17="true",AK17="true"),"true","false")</f>
        <v>false</v>
      </c>
    </row>
    <row r="18" customFormat="false" ht="12.8" hidden="false" customHeight="false" outlineLevel="0" collapsed="false">
      <c r="A18" s="0" t="s">
        <v>288</v>
      </c>
      <c r="B18" s="0" t="s">
        <v>1</v>
      </c>
      <c r="C18" s="0" t="s">
        <v>258</v>
      </c>
      <c r="D18" s="0" t="s">
        <v>254</v>
      </c>
      <c r="E18" s="0" t="n">
        <v>16.268111</v>
      </c>
      <c r="F18" s="0" t="s">
        <v>260</v>
      </c>
      <c r="G18" s="1" t="s">
        <v>5</v>
      </c>
      <c r="H18" s="0" t="n">
        <v>8.984717</v>
      </c>
      <c r="I18" s="0" t="s">
        <v>261</v>
      </c>
      <c r="J18" s="1" t="s">
        <v>5</v>
      </c>
      <c r="K18" s="0" t="n">
        <v>1.890651</v>
      </c>
      <c r="L18" s="0" t="s">
        <v>262</v>
      </c>
      <c r="M18" s="1" t="s">
        <v>5</v>
      </c>
      <c r="N18" s="0" t="n">
        <v>29.194752</v>
      </c>
      <c r="O18" s="0" t="s">
        <v>224</v>
      </c>
      <c r="P18" s="1" t="s">
        <v>5</v>
      </c>
      <c r="Q18" s="0" t="n">
        <v>12.025113</v>
      </c>
      <c r="R18" s="0" t="s">
        <v>9</v>
      </c>
      <c r="S18" s="1" t="s">
        <v>6</v>
      </c>
      <c r="T18" s="0" t="s">
        <v>10</v>
      </c>
      <c r="U18" s="0" t="s">
        <v>253</v>
      </c>
      <c r="V18" s="0" t="s">
        <v>254</v>
      </c>
      <c r="W18" s="0" t="n">
        <v>9.83413</v>
      </c>
      <c r="X18" s="0" t="s">
        <v>289</v>
      </c>
      <c r="Y18" s="1" t="s">
        <v>6</v>
      </c>
      <c r="Z18" s="0" t="n">
        <v>2.400529</v>
      </c>
      <c r="AA18" s="0" t="s">
        <v>290</v>
      </c>
      <c r="AB18" s="1" t="s">
        <v>6</v>
      </c>
      <c r="AC18" s="0" t="n">
        <v>1.743623</v>
      </c>
      <c r="AD18" s="0" t="s">
        <v>290</v>
      </c>
      <c r="AE18" s="1" t="s">
        <v>6</v>
      </c>
      <c r="AF18" s="0" t="n">
        <v>2.141219</v>
      </c>
      <c r="AG18" s="0" t="s">
        <v>151</v>
      </c>
      <c r="AH18" s="1" t="s">
        <v>6</v>
      </c>
      <c r="AI18" s="0" t="n">
        <v>1.626317</v>
      </c>
      <c r="AJ18" s="0" t="s">
        <v>15</v>
      </c>
      <c r="AK18" s="1" t="s">
        <v>6</v>
      </c>
      <c r="AL18" s="0" t="s">
        <v>258</v>
      </c>
      <c r="AM18" s="0" t="s">
        <v>253</v>
      </c>
      <c r="AN18" s="0" t="s">
        <v>254</v>
      </c>
      <c r="AO18" s="0" t="n">
        <v>2.743462</v>
      </c>
      <c r="AP18" s="0" t="n">
        <v>1</v>
      </c>
      <c r="AQ18" s="0" t="n">
        <v>1</v>
      </c>
      <c r="AS18" s="2" t="str">
        <f aca="false">IF(AND(G18="true",J18="true",M18="true",P18="true",S18="true"),"true","false")</f>
        <v>false</v>
      </c>
      <c r="AT18" s="0" t="str">
        <f aca="false">IF(AND(Y18="true",AB18="true",AE18="true",AH18="true",AK18="true"),"true","false")</f>
        <v>false</v>
      </c>
    </row>
    <row r="19" customFormat="false" ht="12.8" hidden="false" customHeight="false" outlineLevel="0" collapsed="false">
      <c r="A19" s="0" t="s">
        <v>291</v>
      </c>
      <c r="B19" s="0" t="s">
        <v>1</v>
      </c>
      <c r="C19" s="0" t="s">
        <v>253</v>
      </c>
      <c r="D19" s="0" t="s">
        <v>254</v>
      </c>
      <c r="E19" s="0" t="n">
        <v>61.13444</v>
      </c>
      <c r="F19" s="0" t="s">
        <v>255</v>
      </c>
      <c r="G19" s="1" t="s">
        <v>5</v>
      </c>
      <c r="H19" s="0" t="n">
        <v>162.387363</v>
      </c>
      <c r="I19" s="0" t="s">
        <v>255</v>
      </c>
      <c r="J19" s="1" t="s">
        <v>5</v>
      </c>
      <c r="K19" s="0" t="n">
        <v>22.450468</v>
      </c>
      <c r="L19" s="0" t="s">
        <v>256</v>
      </c>
      <c r="M19" s="1" t="s">
        <v>5</v>
      </c>
      <c r="N19" s="0" t="n">
        <v>40.898627</v>
      </c>
      <c r="O19" s="0" t="s">
        <v>257</v>
      </c>
      <c r="P19" s="1" t="s">
        <v>5</v>
      </c>
      <c r="Q19" s="0" t="n">
        <v>114.686952</v>
      </c>
      <c r="R19" s="0" t="s">
        <v>9</v>
      </c>
      <c r="S19" s="1" t="s">
        <v>6</v>
      </c>
      <c r="T19" s="0" t="s">
        <v>10</v>
      </c>
      <c r="U19" s="0" t="s">
        <v>258</v>
      </c>
      <c r="V19" s="0" t="s">
        <v>254</v>
      </c>
      <c r="W19" s="0" t="n">
        <v>18.974182</v>
      </c>
      <c r="Y19" s="1" t="s">
        <v>6</v>
      </c>
      <c r="Z19" s="0" t="n">
        <v>0.474213</v>
      </c>
      <c r="AB19" s="1" t="s">
        <v>6</v>
      </c>
      <c r="AC19" s="0" t="n">
        <v>0.416839</v>
      </c>
      <c r="AE19" s="1" t="s">
        <v>6</v>
      </c>
      <c r="AF19" s="0" t="n">
        <v>2.420661</v>
      </c>
      <c r="AH19" s="1" t="s">
        <v>6</v>
      </c>
      <c r="AI19" s="0" t="n">
        <v>1.851179</v>
      </c>
      <c r="AJ19" s="0" t="s">
        <v>51</v>
      </c>
      <c r="AK19" s="1" t="s">
        <v>6</v>
      </c>
      <c r="AL19" s="0" t="s">
        <v>253</v>
      </c>
      <c r="AM19" s="0" t="s">
        <v>258</v>
      </c>
      <c r="AN19" s="0" t="s">
        <v>254</v>
      </c>
      <c r="AO19" s="0" t="n">
        <v>12.697297</v>
      </c>
      <c r="AP19" s="0" t="n">
        <v>-1</v>
      </c>
      <c r="AQ19" s="0" t="n">
        <v>2</v>
      </c>
      <c r="AS19" s="2" t="str">
        <f aca="false">IF(AND(G19="true",J19="true",M19="true",P19="true",S19="true"),"true","false")</f>
        <v>false</v>
      </c>
      <c r="AT19" s="0" t="str">
        <f aca="false">IF(AND(Y19="true",AB19="true",AE19="true",AH19="true",AK19="true"),"true","false")</f>
        <v>false</v>
      </c>
    </row>
    <row r="20" customFormat="false" ht="12.8" hidden="false" customHeight="false" outlineLevel="0" collapsed="false">
      <c r="A20" s="0" t="s">
        <v>292</v>
      </c>
      <c r="B20" s="0" t="s">
        <v>1</v>
      </c>
      <c r="C20" s="0" t="s">
        <v>253</v>
      </c>
      <c r="D20" s="0" t="s">
        <v>254</v>
      </c>
      <c r="E20" s="0" t="n">
        <v>51.046268</v>
      </c>
      <c r="F20" s="0" t="s">
        <v>255</v>
      </c>
      <c r="G20" s="1" t="s">
        <v>5</v>
      </c>
      <c r="H20" s="0" t="n">
        <v>24.336941</v>
      </c>
      <c r="I20" s="0" t="s">
        <v>255</v>
      </c>
      <c r="J20" s="1" t="s">
        <v>5</v>
      </c>
      <c r="K20" s="0" t="n">
        <v>4.37023</v>
      </c>
      <c r="L20" s="0" t="s">
        <v>256</v>
      </c>
      <c r="M20" s="1" t="s">
        <v>5</v>
      </c>
      <c r="N20" s="0" t="n">
        <v>22.30559</v>
      </c>
      <c r="O20" s="0" t="s">
        <v>257</v>
      </c>
      <c r="P20" s="1" t="s">
        <v>5</v>
      </c>
      <c r="Q20" s="0" t="n">
        <v>10.989433</v>
      </c>
      <c r="R20" s="0" t="s">
        <v>15</v>
      </c>
      <c r="S20" s="1" t="s">
        <v>6</v>
      </c>
      <c r="T20" s="0" t="s">
        <v>10</v>
      </c>
      <c r="U20" s="0" t="s">
        <v>258</v>
      </c>
      <c r="V20" s="0" t="s">
        <v>254</v>
      </c>
      <c r="W20" s="0" t="n">
        <v>78.261245</v>
      </c>
      <c r="X20" s="0" t="s">
        <v>261</v>
      </c>
      <c r="Y20" s="1" t="s">
        <v>6</v>
      </c>
      <c r="Z20" s="0" t="n">
        <v>8.898263</v>
      </c>
      <c r="AA20" s="0" t="s">
        <v>261</v>
      </c>
      <c r="AB20" s="1" t="s">
        <v>5</v>
      </c>
      <c r="AC20" s="0" t="n">
        <v>3.082355</v>
      </c>
      <c r="AD20" s="0" t="s">
        <v>293</v>
      </c>
      <c r="AE20" s="1" t="s">
        <v>6</v>
      </c>
      <c r="AF20" s="0" t="n">
        <v>14.888143</v>
      </c>
      <c r="AG20" s="0" t="s">
        <v>294</v>
      </c>
      <c r="AH20" s="1" t="s">
        <v>6</v>
      </c>
      <c r="AI20" s="0" t="n">
        <v>5.051052</v>
      </c>
      <c r="AJ20" s="0" t="s">
        <v>51</v>
      </c>
      <c r="AK20" s="1" t="s">
        <v>6</v>
      </c>
      <c r="AL20" s="0" t="s">
        <v>253</v>
      </c>
      <c r="AM20" s="0" t="s">
        <v>258</v>
      </c>
      <c r="AN20" s="0" t="s">
        <v>254</v>
      </c>
      <c r="AO20" s="0" t="n">
        <v>13.553619</v>
      </c>
      <c r="AP20" s="0" t="n">
        <v>1</v>
      </c>
      <c r="AQ20" s="0" t="n">
        <v>-2</v>
      </c>
      <c r="AS20" s="2" t="str">
        <f aca="false">IF(AND(G20="true",J20="true",M20="true",P20="true",S20="true"),"true","false")</f>
        <v>false</v>
      </c>
      <c r="AT20" s="0" t="str">
        <f aca="false">IF(AND(Y20="true",AB20="true",AE20="true",AH20="true",AK20="true"),"true","false")</f>
        <v>false</v>
      </c>
    </row>
    <row r="21" customFormat="false" ht="12.8" hidden="false" customHeight="false" outlineLevel="0" collapsed="false">
      <c r="A21" s="0" t="s">
        <v>295</v>
      </c>
      <c r="B21" s="0" t="s">
        <v>1</v>
      </c>
      <c r="C21" s="0" t="s">
        <v>258</v>
      </c>
      <c r="D21" s="0" t="s">
        <v>254</v>
      </c>
      <c r="E21" s="0" t="n">
        <v>35.728439</v>
      </c>
      <c r="F21" s="0" t="s">
        <v>260</v>
      </c>
      <c r="G21" s="1" t="s">
        <v>5</v>
      </c>
      <c r="H21" s="0" t="n">
        <v>19.930775</v>
      </c>
      <c r="I21" s="0" t="s">
        <v>261</v>
      </c>
      <c r="J21" s="1" t="s">
        <v>5</v>
      </c>
      <c r="K21" s="0" t="n">
        <v>10.37269</v>
      </c>
      <c r="L21" s="0" t="s">
        <v>262</v>
      </c>
      <c r="M21" s="1" t="s">
        <v>5</v>
      </c>
      <c r="N21" s="0" t="n">
        <v>26.79069</v>
      </c>
      <c r="O21" s="0" t="s">
        <v>70</v>
      </c>
      <c r="P21" s="1" t="s">
        <v>6</v>
      </c>
      <c r="Q21" s="0" t="n">
        <v>14.929972</v>
      </c>
      <c r="R21" s="0" t="s">
        <v>15</v>
      </c>
      <c r="S21" s="1" t="s">
        <v>6</v>
      </c>
      <c r="T21" s="0" t="s">
        <v>10</v>
      </c>
      <c r="U21" s="0" t="s">
        <v>253</v>
      </c>
      <c r="V21" s="0" t="s">
        <v>254</v>
      </c>
      <c r="W21" s="0" t="n">
        <v>29.514342</v>
      </c>
      <c r="X21" s="0" t="s">
        <v>255</v>
      </c>
      <c r="Y21" s="1" t="s">
        <v>5</v>
      </c>
      <c r="Z21" s="0" t="n">
        <v>42.05845</v>
      </c>
      <c r="AA21" s="0" t="s">
        <v>255</v>
      </c>
      <c r="AB21" s="1" t="s">
        <v>5</v>
      </c>
      <c r="AC21" s="0" t="n">
        <v>11.65914</v>
      </c>
      <c r="AD21" s="0" t="s">
        <v>256</v>
      </c>
      <c r="AE21" s="1" t="s">
        <v>5</v>
      </c>
      <c r="AF21" s="0" t="n">
        <v>22.623832</v>
      </c>
      <c r="AG21" s="0" t="s">
        <v>296</v>
      </c>
      <c r="AH21" s="1" t="s">
        <v>6</v>
      </c>
      <c r="AI21" s="0" t="n">
        <v>15.914162</v>
      </c>
      <c r="AJ21" s="0" t="s">
        <v>15</v>
      </c>
      <c r="AK21" s="1" t="s">
        <v>6</v>
      </c>
      <c r="AL21" s="0" t="s">
        <v>258</v>
      </c>
      <c r="AM21" s="0" t="s">
        <v>253</v>
      </c>
      <c r="AN21" s="0" t="s">
        <v>254</v>
      </c>
      <c r="AO21" s="0" t="n">
        <v>59.027002</v>
      </c>
      <c r="AP21" s="0" t="n">
        <v>1</v>
      </c>
      <c r="AQ21" s="0" t="n">
        <v>1</v>
      </c>
      <c r="AR21" s="0" t="s">
        <v>297</v>
      </c>
      <c r="AS21" s="2" t="str">
        <f aca="false">IF(AND(G21="true",J21="true",M21="true",P21="true",S21="true"),"true","false")</f>
        <v>false</v>
      </c>
      <c r="AT21" s="0" t="str">
        <f aca="false">IF(AND(Y21="true",AB21="true",AE21="true",AH21="true",AK21="true"),"true","false")</f>
        <v>false</v>
      </c>
    </row>
    <row r="22" customFormat="false" ht="12.8" hidden="false" customHeight="false" outlineLevel="0" collapsed="false">
      <c r="A22" s="0" t="s">
        <v>298</v>
      </c>
      <c r="B22" s="0" t="s">
        <v>1</v>
      </c>
      <c r="C22" s="0" t="s">
        <v>258</v>
      </c>
      <c r="D22" s="0" t="s">
        <v>254</v>
      </c>
      <c r="E22" s="0" t="n">
        <v>26.405776</v>
      </c>
      <c r="F22" s="0" t="s">
        <v>260</v>
      </c>
      <c r="G22" s="1" t="s">
        <v>5</v>
      </c>
      <c r="H22" s="0" t="n">
        <v>9.110928</v>
      </c>
      <c r="I22" s="0" t="s">
        <v>261</v>
      </c>
      <c r="J22" s="1" t="s">
        <v>5</v>
      </c>
      <c r="K22" s="0" t="n">
        <v>4.772995</v>
      </c>
      <c r="L22" s="0" t="s">
        <v>262</v>
      </c>
      <c r="M22" s="1" t="s">
        <v>5</v>
      </c>
      <c r="N22" s="0" t="n">
        <v>26.814135</v>
      </c>
      <c r="O22" s="0" t="s">
        <v>224</v>
      </c>
      <c r="P22" s="1" t="s">
        <v>5</v>
      </c>
      <c r="Q22" s="0" t="n">
        <v>6.497594</v>
      </c>
      <c r="R22" s="0" t="s">
        <v>9</v>
      </c>
      <c r="S22" s="1" t="s">
        <v>6</v>
      </c>
      <c r="T22" s="0" t="s">
        <v>10</v>
      </c>
      <c r="U22" s="0" t="s">
        <v>253</v>
      </c>
      <c r="V22" s="0" t="s">
        <v>254</v>
      </c>
      <c r="W22" s="0" t="n">
        <v>19.92331</v>
      </c>
      <c r="X22" s="0" t="s">
        <v>255</v>
      </c>
      <c r="Y22" s="1" t="s">
        <v>5</v>
      </c>
      <c r="Z22" s="0" t="n">
        <v>21.373996</v>
      </c>
      <c r="AA22" s="0" t="s">
        <v>255</v>
      </c>
      <c r="AB22" s="1" t="s">
        <v>5</v>
      </c>
      <c r="AC22" s="0" t="n">
        <v>6.757987</v>
      </c>
      <c r="AD22" s="0" t="s">
        <v>256</v>
      </c>
      <c r="AE22" s="1" t="s">
        <v>5</v>
      </c>
      <c r="AF22" s="0" t="n">
        <v>21.649592</v>
      </c>
      <c r="AG22" s="0" t="s">
        <v>257</v>
      </c>
      <c r="AH22" s="1" t="s">
        <v>5</v>
      </c>
      <c r="AI22" s="0" t="n">
        <v>56.731834</v>
      </c>
      <c r="AJ22" s="0" t="s">
        <v>9</v>
      </c>
      <c r="AK22" s="1" t="s">
        <v>5</v>
      </c>
      <c r="AL22" s="0" t="s">
        <v>258</v>
      </c>
      <c r="AM22" s="0" t="s">
        <v>253</v>
      </c>
      <c r="AN22" s="0" t="s">
        <v>254</v>
      </c>
      <c r="AO22" s="0" t="n">
        <v>3.111102</v>
      </c>
      <c r="AP22" s="0" t="n">
        <v>1</v>
      </c>
      <c r="AQ22" s="0" t="n">
        <v>1</v>
      </c>
      <c r="AS22" s="2" t="str">
        <f aca="false">IF(AND(G22="true",J22="true",M22="true",P22="true",S22="true"),"true","false")</f>
        <v>false</v>
      </c>
      <c r="AT22" s="0" t="str">
        <f aca="false">IF(AND(Y22="true",AB22="true",AE22="true",AH22="true",AK22="true"),"true","false")</f>
        <v>true</v>
      </c>
    </row>
    <row r="23" customFormat="false" ht="24.05" hidden="false" customHeight="false" outlineLevel="0" collapsed="false">
      <c r="A23" s="0" t="s">
        <v>299</v>
      </c>
      <c r="B23" s="0" t="s">
        <v>1</v>
      </c>
      <c r="C23" s="0" t="s">
        <v>258</v>
      </c>
      <c r="D23" s="0" t="s">
        <v>254</v>
      </c>
      <c r="E23" s="0" t="n">
        <v>20.602141</v>
      </c>
      <c r="F23" s="0" t="s">
        <v>262</v>
      </c>
      <c r="G23" s="1" t="s">
        <v>6</v>
      </c>
      <c r="H23" s="0" t="n">
        <v>13.073506</v>
      </c>
      <c r="I23" s="0" t="s">
        <v>261</v>
      </c>
      <c r="J23" s="1" t="s">
        <v>5</v>
      </c>
      <c r="K23" s="0" t="n">
        <v>6.268215</v>
      </c>
      <c r="L23" s="0" t="s">
        <v>262</v>
      </c>
      <c r="M23" s="1" t="s">
        <v>5</v>
      </c>
      <c r="N23" s="0" t="n">
        <v>10.118696</v>
      </c>
      <c r="O23" s="0" t="s">
        <v>224</v>
      </c>
      <c r="P23" s="1" t="s">
        <v>5</v>
      </c>
      <c r="Q23" s="0" t="n">
        <v>7.977425</v>
      </c>
      <c r="R23" s="0" t="s">
        <v>15</v>
      </c>
      <c r="S23" s="1" t="s">
        <v>6</v>
      </c>
      <c r="T23" s="0" t="s">
        <v>10</v>
      </c>
      <c r="U23" s="0" t="s">
        <v>253</v>
      </c>
      <c r="V23" s="0" t="s">
        <v>254</v>
      </c>
      <c r="W23" s="0" t="n">
        <v>17.00434</v>
      </c>
      <c r="X23" s="0" t="s">
        <v>256</v>
      </c>
      <c r="Y23" s="1" t="s">
        <v>6</v>
      </c>
      <c r="Z23" s="0" t="n">
        <v>17.470199</v>
      </c>
      <c r="AA23" s="0" t="s">
        <v>300</v>
      </c>
      <c r="AB23" s="1" t="s">
        <v>6</v>
      </c>
      <c r="AC23" s="0" t="n">
        <v>3.828786</v>
      </c>
      <c r="AD23" s="0" t="s">
        <v>256</v>
      </c>
      <c r="AE23" s="1" t="s">
        <v>5</v>
      </c>
      <c r="AF23" s="0" t="n">
        <v>4.747892</v>
      </c>
      <c r="AG23" s="0" t="s">
        <v>47</v>
      </c>
      <c r="AH23" s="1" t="s">
        <v>6</v>
      </c>
      <c r="AI23" s="0" t="n">
        <v>3.456584</v>
      </c>
      <c r="AJ23" s="0" t="s">
        <v>9</v>
      </c>
      <c r="AK23" s="1" t="s">
        <v>5</v>
      </c>
      <c r="AL23" s="0" t="s">
        <v>258</v>
      </c>
      <c r="AM23" s="0" t="s">
        <v>253</v>
      </c>
      <c r="AN23" s="0" t="s">
        <v>254</v>
      </c>
      <c r="AO23" s="0" t="n">
        <v>10.036402</v>
      </c>
      <c r="AP23" s="0" t="n">
        <v>1</v>
      </c>
      <c r="AQ23" s="0" t="n">
        <v>-2</v>
      </c>
      <c r="AR23" s="3" t="s">
        <v>301</v>
      </c>
      <c r="AS23" s="2" t="str">
        <f aca="false">IF(AND(G23="true",J23="true",M23="true",P23="true",S23="true"),"true","false")</f>
        <v>false</v>
      </c>
      <c r="AT23" s="0" t="str">
        <f aca="false">IF(AND(Y23="true",AB23="true",AE23="true",AH23="true",AK23="true"),"true","false")</f>
        <v>false</v>
      </c>
    </row>
    <row r="24" customFormat="false" ht="12.8" hidden="false" customHeight="false" outlineLevel="0" collapsed="false">
      <c r="A24" s="0" t="s">
        <v>302</v>
      </c>
      <c r="B24" s="0" t="s">
        <v>1</v>
      </c>
      <c r="C24" s="0" t="s">
        <v>253</v>
      </c>
      <c r="D24" s="0" t="s">
        <v>254</v>
      </c>
      <c r="E24" s="0" t="n">
        <v>45.214843</v>
      </c>
      <c r="F24" s="0" t="s">
        <v>303</v>
      </c>
      <c r="G24" s="1" t="s">
        <v>6</v>
      </c>
      <c r="H24" s="0" t="n">
        <v>31.506672</v>
      </c>
      <c r="I24" s="0" t="s">
        <v>255</v>
      </c>
      <c r="J24" s="1" t="s">
        <v>5</v>
      </c>
      <c r="K24" s="0" t="n">
        <v>12.096123</v>
      </c>
      <c r="L24" s="0" t="s">
        <v>256</v>
      </c>
      <c r="M24" s="1" t="s">
        <v>5</v>
      </c>
      <c r="N24" s="0" t="n">
        <v>23.663808</v>
      </c>
      <c r="O24" s="0" t="s">
        <v>257</v>
      </c>
      <c r="P24" s="1" t="s">
        <v>5</v>
      </c>
      <c r="Q24" s="0" t="n">
        <v>8.460144</v>
      </c>
      <c r="R24" s="0" t="s">
        <v>15</v>
      </c>
      <c r="S24" s="1" t="s">
        <v>6</v>
      </c>
      <c r="T24" s="0" t="s">
        <v>10</v>
      </c>
      <c r="U24" s="0" t="s">
        <v>258</v>
      </c>
      <c r="V24" s="0" t="s">
        <v>254</v>
      </c>
      <c r="W24" s="0" t="n">
        <v>55.839605</v>
      </c>
      <c r="Y24" s="1" t="s">
        <v>6</v>
      </c>
      <c r="Z24" s="0" t="n">
        <v>0.782928</v>
      </c>
      <c r="AB24" s="1" t="s">
        <v>6</v>
      </c>
      <c r="AC24" s="0" t="n">
        <v>0.739089</v>
      </c>
      <c r="AE24" s="1" t="s">
        <v>6</v>
      </c>
      <c r="AF24" s="0" t="n">
        <v>1.105634</v>
      </c>
      <c r="AH24" s="1" t="s">
        <v>6</v>
      </c>
      <c r="AI24" s="0" t="n">
        <v>0.911808</v>
      </c>
      <c r="AK24" s="1" t="s">
        <v>6</v>
      </c>
      <c r="AL24" s="0" t="s">
        <v>253</v>
      </c>
      <c r="AM24" s="0" t="s">
        <v>258</v>
      </c>
      <c r="AN24" s="0" t="s">
        <v>254</v>
      </c>
      <c r="AO24" s="0" t="n">
        <v>1.034308</v>
      </c>
      <c r="AS24" s="2" t="str">
        <f aca="false">IF(AND(G24="true",J24="true",M24="true",P24="true",S24="true"),"true","false")</f>
        <v>false</v>
      </c>
      <c r="AT24" s="0" t="str">
        <f aca="false">IF(AND(Y24="true",AB24="true",AE24="true",AH24="true",AK24="true"),"true","false")</f>
        <v>false</v>
      </c>
    </row>
    <row r="25" customFormat="false" ht="12.8" hidden="false" customHeight="false" outlineLevel="0" collapsed="false">
      <c r="A25" s="0" t="s">
        <v>304</v>
      </c>
      <c r="B25" s="0" t="s">
        <v>1</v>
      </c>
      <c r="C25" s="0" t="s">
        <v>253</v>
      </c>
      <c r="D25" s="0" t="s">
        <v>254</v>
      </c>
      <c r="E25" s="0" t="n">
        <v>31.050046</v>
      </c>
      <c r="F25" s="0" t="s">
        <v>255</v>
      </c>
      <c r="G25" s="1" t="s">
        <v>5</v>
      </c>
      <c r="H25" s="0" t="n">
        <v>25.997257</v>
      </c>
      <c r="I25" s="0" t="s">
        <v>255</v>
      </c>
      <c r="J25" s="1" t="s">
        <v>5</v>
      </c>
      <c r="K25" s="0" t="n">
        <v>5.323843</v>
      </c>
      <c r="L25" s="0" t="s">
        <v>256</v>
      </c>
      <c r="M25" s="1" t="s">
        <v>5</v>
      </c>
      <c r="N25" s="0" t="n">
        <v>41.270039</v>
      </c>
      <c r="O25" s="0" t="s">
        <v>276</v>
      </c>
      <c r="P25" s="1" t="s">
        <v>6</v>
      </c>
      <c r="Q25" s="0" t="n">
        <v>56.602119</v>
      </c>
      <c r="R25" s="0" t="s">
        <v>15</v>
      </c>
      <c r="S25" s="1" t="s">
        <v>6</v>
      </c>
      <c r="T25" s="0" t="s">
        <v>10</v>
      </c>
      <c r="U25" s="0" t="s">
        <v>258</v>
      </c>
      <c r="V25" s="0" t="s">
        <v>254</v>
      </c>
      <c r="W25" s="0" t="n">
        <v>79.673264</v>
      </c>
      <c r="X25" s="0" t="s">
        <v>260</v>
      </c>
      <c r="Y25" s="1" t="s">
        <v>5</v>
      </c>
      <c r="Z25" s="0" t="n">
        <v>12.500703</v>
      </c>
      <c r="AA25" s="0" t="s">
        <v>262</v>
      </c>
      <c r="AB25" s="1" t="s">
        <v>6</v>
      </c>
      <c r="AC25" s="0" t="n">
        <v>8.607718</v>
      </c>
      <c r="AD25" s="0" t="s">
        <v>261</v>
      </c>
      <c r="AE25" s="1" t="s">
        <v>6</v>
      </c>
      <c r="AF25" s="0" t="n">
        <v>19.278109</v>
      </c>
      <c r="AG25" s="0" t="s">
        <v>224</v>
      </c>
      <c r="AH25" s="1" t="s">
        <v>5</v>
      </c>
      <c r="AI25" s="0" t="n">
        <v>41.493522</v>
      </c>
      <c r="AJ25" s="0" t="s">
        <v>9</v>
      </c>
      <c r="AK25" s="1" t="s">
        <v>5</v>
      </c>
      <c r="AL25" s="0" t="s">
        <v>253</v>
      </c>
      <c r="AM25" s="0" t="s">
        <v>258</v>
      </c>
      <c r="AN25" s="0" t="s">
        <v>254</v>
      </c>
      <c r="AO25" s="0" t="n">
        <v>59.698462</v>
      </c>
      <c r="AP25" s="0" t="n">
        <v>1</v>
      </c>
      <c r="AQ25" s="0" t="n">
        <v>2</v>
      </c>
      <c r="AR25" s="0" t="s">
        <v>305</v>
      </c>
      <c r="AS25" s="2" t="str">
        <f aca="false">IF(AND(G25="true",J25="true",M25="true",P25="true",S25="true"),"true","false")</f>
        <v>false</v>
      </c>
      <c r="AT25" s="0" t="str">
        <f aca="false">IF(AND(Y25="true",AB25="true",AE25="true",AH25="true",AK25="true"),"true","false")</f>
        <v>false</v>
      </c>
    </row>
    <row r="26" customFormat="false" ht="12.8" hidden="false" customHeight="false" outlineLevel="0" collapsed="false">
      <c r="A26" s="0" t="s">
        <v>306</v>
      </c>
      <c r="B26" s="0" t="s">
        <v>1</v>
      </c>
      <c r="C26" s="0" t="s">
        <v>253</v>
      </c>
      <c r="D26" s="0" t="s">
        <v>254</v>
      </c>
      <c r="E26" s="0" t="n">
        <v>45.232531</v>
      </c>
      <c r="F26" s="0" t="s">
        <v>255</v>
      </c>
      <c r="G26" s="1" t="s">
        <v>5</v>
      </c>
      <c r="H26" s="0" t="n">
        <v>17.964604</v>
      </c>
      <c r="I26" s="0" t="s">
        <v>255</v>
      </c>
      <c r="J26" s="1" t="s">
        <v>5</v>
      </c>
      <c r="K26" s="0" t="n">
        <v>5.799057</v>
      </c>
      <c r="L26" s="0" t="s">
        <v>256</v>
      </c>
      <c r="M26" s="1" t="s">
        <v>5</v>
      </c>
      <c r="N26" s="0" t="n">
        <v>19.458567</v>
      </c>
      <c r="O26" s="0" t="s">
        <v>257</v>
      </c>
      <c r="P26" s="1" t="s">
        <v>5</v>
      </c>
      <c r="Q26" s="0" t="n">
        <v>25.86673</v>
      </c>
      <c r="R26" s="0" t="s">
        <v>15</v>
      </c>
      <c r="S26" s="1" t="s">
        <v>6</v>
      </c>
      <c r="T26" s="0" t="s">
        <v>10</v>
      </c>
      <c r="U26" s="0" t="s">
        <v>258</v>
      </c>
      <c r="V26" s="0" t="s">
        <v>254</v>
      </c>
      <c r="W26" s="0" t="n">
        <v>67.077111</v>
      </c>
      <c r="X26" s="0" t="s">
        <v>260</v>
      </c>
      <c r="Y26" s="1" t="s">
        <v>5</v>
      </c>
      <c r="Z26" s="0" t="n">
        <v>16.54339</v>
      </c>
      <c r="AA26" s="0" t="s">
        <v>261</v>
      </c>
      <c r="AB26" s="1" t="s">
        <v>5</v>
      </c>
      <c r="AC26" s="0" t="n">
        <v>5.693551</v>
      </c>
      <c r="AD26" s="0" t="s">
        <v>262</v>
      </c>
      <c r="AE26" s="1" t="s">
        <v>5</v>
      </c>
      <c r="AF26" s="0" t="n">
        <v>37.681448</v>
      </c>
      <c r="AG26" s="0" t="s">
        <v>224</v>
      </c>
      <c r="AH26" s="1" t="s">
        <v>5</v>
      </c>
      <c r="AI26" s="0" t="n">
        <v>22.257568</v>
      </c>
      <c r="AJ26" s="0" t="s">
        <v>9</v>
      </c>
      <c r="AK26" s="1" t="s">
        <v>5</v>
      </c>
      <c r="AL26" s="0" t="s">
        <v>253</v>
      </c>
      <c r="AM26" s="0" t="s">
        <v>258</v>
      </c>
      <c r="AN26" s="0" t="s">
        <v>254</v>
      </c>
      <c r="AO26" s="0" t="n">
        <v>8.418432</v>
      </c>
      <c r="AP26" s="0" t="n">
        <v>1</v>
      </c>
      <c r="AQ26" s="0" t="n">
        <v>0</v>
      </c>
      <c r="AS26" s="2" t="str">
        <f aca="false">IF(AND(G26="true",J26="true",M26="true",P26="true",S26="true"),"true","false")</f>
        <v>false</v>
      </c>
      <c r="AT26" s="0" t="str">
        <f aca="false">IF(AND(Y26="true",AB26="true",AE26="true",AH26="true",AK26="true"),"true","false")</f>
        <v>true</v>
      </c>
    </row>
    <row r="27" customFormat="false" ht="12.8" hidden="false" customHeight="false" outlineLevel="0" collapsed="false">
      <c r="A27" s="0" t="s">
        <v>307</v>
      </c>
      <c r="B27" s="0" t="s">
        <v>1</v>
      </c>
      <c r="C27" s="0" t="s">
        <v>258</v>
      </c>
      <c r="D27" s="0" t="s">
        <v>254</v>
      </c>
      <c r="E27" s="0" t="n">
        <v>32.649137</v>
      </c>
      <c r="F27" s="0" t="s">
        <v>260</v>
      </c>
      <c r="G27" s="1" t="s">
        <v>5</v>
      </c>
      <c r="H27" s="0" t="n">
        <v>9.464315</v>
      </c>
      <c r="I27" s="0" t="s">
        <v>261</v>
      </c>
      <c r="J27" s="1" t="s">
        <v>5</v>
      </c>
      <c r="K27" s="0" t="n">
        <v>14.4963</v>
      </c>
      <c r="L27" s="0" t="s">
        <v>262</v>
      </c>
      <c r="M27" s="1" t="s">
        <v>5</v>
      </c>
      <c r="N27" s="0" t="n">
        <v>23.932461</v>
      </c>
      <c r="O27" s="0" t="s">
        <v>224</v>
      </c>
      <c r="P27" s="1" t="s">
        <v>5</v>
      </c>
      <c r="Q27" s="0" t="n">
        <v>7.904633</v>
      </c>
      <c r="R27" s="0" t="s">
        <v>9</v>
      </c>
      <c r="S27" s="1" t="s">
        <v>6</v>
      </c>
      <c r="T27" s="0" t="s">
        <v>10</v>
      </c>
      <c r="U27" s="0" t="s">
        <v>253</v>
      </c>
      <c r="V27" s="0" t="s">
        <v>254</v>
      </c>
      <c r="W27" s="0" t="n">
        <v>16.889991</v>
      </c>
      <c r="Y27" s="1" t="s">
        <v>6</v>
      </c>
      <c r="Z27" s="0" t="n">
        <v>2.6217</v>
      </c>
      <c r="AB27" s="1" t="s">
        <v>6</v>
      </c>
      <c r="AC27" s="0" t="n">
        <v>1.867635</v>
      </c>
      <c r="AE27" s="1" t="s">
        <v>6</v>
      </c>
      <c r="AF27" s="0" t="n">
        <v>1.295133</v>
      </c>
      <c r="AH27" s="1" t="s">
        <v>6</v>
      </c>
      <c r="AI27" s="0" t="n">
        <v>1.104675</v>
      </c>
      <c r="AK27" s="1" t="s">
        <v>6</v>
      </c>
      <c r="AL27" s="0" t="s">
        <v>258</v>
      </c>
      <c r="AM27" s="0" t="s">
        <v>253</v>
      </c>
      <c r="AN27" s="0" t="s">
        <v>254</v>
      </c>
      <c r="AO27" s="0" t="n">
        <v>1.571761</v>
      </c>
      <c r="AS27" s="2" t="str">
        <f aca="false">IF(AND(G27="true",J27="true",M27="true",P27="true",S27="true"),"true","false")</f>
        <v>false</v>
      </c>
      <c r="AT27" s="0" t="str">
        <f aca="false">IF(AND(Y27="true",AB27="true",AE27="true",AH27="true",AK27="true"),"true","false")</f>
        <v>false</v>
      </c>
    </row>
    <row r="28" customFormat="false" ht="12.8" hidden="false" customHeight="false" outlineLevel="0" collapsed="false">
      <c r="A28" s="0" t="s">
        <v>308</v>
      </c>
      <c r="B28" s="0" t="s">
        <v>1</v>
      </c>
      <c r="C28" s="0" t="s">
        <v>253</v>
      </c>
      <c r="D28" s="0" t="s">
        <v>254</v>
      </c>
      <c r="E28" s="0" t="n">
        <v>29.695025</v>
      </c>
      <c r="F28" s="0" t="s">
        <v>255</v>
      </c>
      <c r="G28" s="1" t="s">
        <v>5</v>
      </c>
      <c r="H28" s="0" t="n">
        <v>26.211533</v>
      </c>
      <c r="I28" s="0" t="s">
        <v>255</v>
      </c>
      <c r="J28" s="1" t="s">
        <v>5</v>
      </c>
      <c r="K28" s="0" t="n">
        <v>12.385812</v>
      </c>
      <c r="L28" s="0" t="s">
        <v>256</v>
      </c>
      <c r="M28" s="1" t="s">
        <v>5</v>
      </c>
      <c r="N28" s="0" t="n">
        <v>22.91503</v>
      </c>
      <c r="O28" s="0" t="s">
        <v>257</v>
      </c>
      <c r="P28" s="1" t="s">
        <v>5</v>
      </c>
      <c r="Q28" s="0" t="n">
        <v>16.665307</v>
      </c>
      <c r="R28" s="0" t="s">
        <v>51</v>
      </c>
      <c r="S28" s="1" t="s">
        <v>5</v>
      </c>
      <c r="T28" s="0" t="s">
        <v>10</v>
      </c>
      <c r="U28" s="0" t="s">
        <v>258</v>
      </c>
      <c r="V28" s="0" t="s">
        <v>254</v>
      </c>
      <c r="W28" s="0" t="n">
        <v>43.492051</v>
      </c>
      <c r="X28" s="0" t="s">
        <v>260</v>
      </c>
      <c r="Y28" s="1" t="s">
        <v>5</v>
      </c>
      <c r="Z28" s="0" t="n">
        <v>81.078241</v>
      </c>
      <c r="AA28" s="0" t="s">
        <v>262</v>
      </c>
      <c r="AB28" s="1" t="s">
        <v>6</v>
      </c>
      <c r="AC28" s="0" t="n">
        <v>9.711134</v>
      </c>
      <c r="AD28" s="0" t="s">
        <v>261</v>
      </c>
      <c r="AE28" s="1" t="s">
        <v>6</v>
      </c>
      <c r="AF28" s="0" t="n">
        <v>119.460073</v>
      </c>
      <c r="AG28" s="0" t="s">
        <v>224</v>
      </c>
      <c r="AH28" s="1" t="s">
        <v>5</v>
      </c>
      <c r="AI28" s="0" t="n">
        <v>16.320714</v>
      </c>
      <c r="AJ28" s="0" t="s">
        <v>51</v>
      </c>
      <c r="AK28" s="1" t="s">
        <v>6</v>
      </c>
      <c r="AL28" s="0" t="s">
        <v>253</v>
      </c>
      <c r="AM28" s="0" t="s">
        <v>258</v>
      </c>
      <c r="AN28" s="0" t="s">
        <v>254</v>
      </c>
      <c r="AO28" s="0" t="n">
        <v>7.388707</v>
      </c>
      <c r="AP28" s="0" t="n">
        <v>-1</v>
      </c>
      <c r="AQ28" s="0" t="n">
        <v>-1</v>
      </c>
      <c r="AS28" s="2" t="str">
        <f aca="false">IF(AND(G28="true",J28="true",M28="true",P28="true",S28="true"),"true","false")</f>
        <v>true</v>
      </c>
      <c r="AT28" s="0" t="str">
        <f aca="false">IF(AND(Y28="true",AB28="true",AE28="true",AH28="true",AK28="true"),"true","false")</f>
        <v>false</v>
      </c>
    </row>
    <row r="29" customFormat="false" ht="12.8" hidden="false" customHeight="false" outlineLevel="0" collapsed="false">
      <c r="A29" s="0" t="s">
        <v>309</v>
      </c>
      <c r="B29" s="0" t="s">
        <v>1</v>
      </c>
      <c r="C29" s="0" t="s">
        <v>253</v>
      </c>
      <c r="D29" s="0" t="s">
        <v>254</v>
      </c>
      <c r="E29" s="0" t="n">
        <v>30.858825</v>
      </c>
      <c r="F29" s="0" t="s">
        <v>255</v>
      </c>
      <c r="G29" s="1" t="s">
        <v>5</v>
      </c>
      <c r="H29" s="0" t="n">
        <v>14.920352</v>
      </c>
      <c r="I29" s="0" t="s">
        <v>255</v>
      </c>
      <c r="J29" s="1" t="s">
        <v>5</v>
      </c>
      <c r="K29" s="0" t="n">
        <v>5.499758</v>
      </c>
      <c r="L29" s="0" t="s">
        <v>256</v>
      </c>
      <c r="M29" s="1" t="s">
        <v>5</v>
      </c>
      <c r="N29" s="0" t="n">
        <v>22.908739</v>
      </c>
      <c r="O29" s="0" t="s">
        <v>257</v>
      </c>
      <c r="P29" s="1" t="s">
        <v>5</v>
      </c>
      <c r="Q29" s="0" t="n">
        <v>33.661978</v>
      </c>
      <c r="R29" s="0" t="s">
        <v>15</v>
      </c>
      <c r="S29" s="1" t="s">
        <v>6</v>
      </c>
      <c r="T29" s="0" t="s">
        <v>10</v>
      </c>
      <c r="U29" s="0" t="s">
        <v>258</v>
      </c>
      <c r="V29" s="0" t="s">
        <v>254</v>
      </c>
      <c r="W29" s="0" t="n">
        <v>36.210556</v>
      </c>
      <c r="X29" s="0" t="s">
        <v>260</v>
      </c>
      <c r="Y29" s="1" t="s">
        <v>5</v>
      </c>
      <c r="Z29" s="0" t="n">
        <v>22.524897</v>
      </c>
      <c r="AA29" s="0" t="s">
        <v>261</v>
      </c>
      <c r="AB29" s="1" t="s">
        <v>5</v>
      </c>
      <c r="AC29" s="0" t="n">
        <v>5.513962</v>
      </c>
      <c r="AD29" s="0" t="s">
        <v>262</v>
      </c>
      <c r="AE29" s="1" t="s">
        <v>5</v>
      </c>
      <c r="AF29" s="0" t="n">
        <v>17.193887</v>
      </c>
      <c r="AG29" s="0" t="s">
        <v>224</v>
      </c>
      <c r="AH29" s="1" t="s">
        <v>5</v>
      </c>
      <c r="AI29" s="0" t="n">
        <v>42.494473</v>
      </c>
      <c r="AJ29" s="0" t="s">
        <v>9</v>
      </c>
      <c r="AK29" s="1" t="s">
        <v>5</v>
      </c>
      <c r="AL29" s="0" t="s">
        <v>253</v>
      </c>
      <c r="AM29" s="0" t="s">
        <v>258</v>
      </c>
      <c r="AN29" s="0" t="s">
        <v>254</v>
      </c>
      <c r="AO29" s="0" t="n">
        <v>2.502839</v>
      </c>
      <c r="AP29" s="0" t="n">
        <v>1</v>
      </c>
      <c r="AQ29" s="0" t="n">
        <v>1</v>
      </c>
      <c r="AS29" s="2" t="str">
        <f aca="false">IF(AND(G29="true",J29="true",M29="true",P29="true",S29="true"),"true","false")</f>
        <v>false</v>
      </c>
      <c r="AT29" s="0" t="str">
        <f aca="false">IF(AND(Y29="true",AB29="true",AE29="true",AH29="true",AK29="true"),"true","false")</f>
        <v>true</v>
      </c>
    </row>
    <row r="30" customFormat="false" ht="12.8" hidden="false" customHeight="false" outlineLevel="0" collapsed="false">
      <c r="A30" s="0" t="s">
        <v>310</v>
      </c>
      <c r="B30" s="0" t="s">
        <v>1</v>
      </c>
      <c r="C30" s="0" t="s">
        <v>258</v>
      </c>
      <c r="D30" s="0" t="s">
        <v>254</v>
      </c>
      <c r="E30" s="0" t="n">
        <v>35.411397</v>
      </c>
      <c r="F30" s="0" t="s">
        <v>260</v>
      </c>
      <c r="G30" s="1" t="s">
        <v>5</v>
      </c>
      <c r="H30" s="0" t="n">
        <v>34.453982</v>
      </c>
      <c r="I30" s="0" t="s">
        <v>261</v>
      </c>
      <c r="J30" s="1" t="s">
        <v>5</v>
      </c>
      <c r="K30" s="0" t="n">
        <v>9.789767</v>
      </c>
      <c r="L30" s="0" t="s">
        <v>262</v>
      </c>
      <c r="M30" s="1" t="s">
        <v>5</v>
      </c>
      <c r="N30" s="0" t="n">
        <v>23.913744</v>
      </c>
      <c r="O30" s="0" t="s">
        <v>224</v>
      </c>
      <c r="P30" s="1" t="s">
        <v>5</v>
      </c>
      <c r="Q30" s="0" t="n">
        <v>22.838593</v>
      </c>
      <c r="R30" s="0" t="s">
        <v>15</v>
      </c>
      <c r="S30" s="1" t="s">
        <v>6</v>
      </c>
      <c r="T30" s="0" t="s">
        <v>10</v>
      </c>
      <c r="U30" s="0" t="s">
        <v>253</v>
      </c>
      <c r="V30" s="0" t="s">
        <v>254</v>
      </c>
      <c r="W30" s="0" t="n">
        <v>35.101361</v>
      </c>
      <c r="X30" s="0" t="s">
        <v>255</v>
      </c>
      <c r="Y30" s="1" t="s">
        <v>5</v>
      </c>
      <c r="Z30" s="0" t="n">
        <v>28.424708</v>
      </c>
      <c r="AA30" s="0" t="s">
        <v>255</v>
      </c>
      <c r="AB30" s="1" t="s">
        <v>5</v>
      </c>
      <c r="AC30" s="0" t="n">
        <v>32.475465</v>
      </c>
      <c r="AD30" s="0" t="s">
        <v>256</v>
      </c>
      <c r="AE30" s="1" t="s">
        <v>5</v>
      </c>
      <c r="AF30" s="0" t="n">
        <v>36.075887</v>
      </c>
      <c r="AG30" s="0" t="s">
        <v>257</v>
      </c>
      <c r="AH30" s="1" t="s">
        <v>5</v>
      </c>
      <c r="AI30" s="0" t="n">
        <v>15.495923</v>
      </c>
      <c r="AJ30" s="0" t="s">
        <v>15</v>
      </c>
      <c r="AK30" s="1" t="s">
        <v>6</v>
      </c>
      <c r="AL30" s="0" t="s">
        <v>258</v>
      </c>
      <c r="AM30" s="0" t="s">
        <v>253</v>
      </c>
      <c r="AN30" s="0" t="s">
        <v>254</v>
      </c>
      <c r="AO30" s="0" t="n">
        <v>4.528365</v>
      </c>
      <c r="AP30" s="0" t="n">
        <v>0</v>
      </c>
      <c r="AQ30" s="0" t="n">
        <v>0</v>
      </c>
      <c r="AS30" s="2" t="str">
        <f aca="false">IF(AND(G30="true",J30="true",M30="true",P30="true",S30="true"),"true","false")</f>
        <v>false</v>
      </c>
      <c r="AT30" s="0" t="str">
        <f aca="false">IF(AND(Y30="true",AB30="true",AE30="true",AH30="true",AK30="true"),"true","false")</f>
        <v>false</v>
      </c>
    </row>
    <row r="31" customFormat="false" ht="12.8" hidden="false" customHeight="false" outlineLevel="0" collapsed="false">
      <c r="A31" s="0" t="s">
        <v>311</v>
      </c>
      <c r="B31" s="0" t="s">
        <v>1</v>
      </c>
      <c r="C31" s="0" t="s">
        <v>258</v>
      </c>
      <c r="D31" s="0" t="s">
        <v>254</v>
      </c>
      <c r="E31" s="0" t="n">
        <v>57.175512</v>
      </c>
      <c r="F31" s="0" t="s">
        <v>260</v>
      </c>
      <c r="G31" s="1" t="s">
        <v>5</v>
      </c>
      <c r="H31" s="0" t="n">
        <v>25.656721</v>
      </c>
      <c r="I31" s="0" t="s">
        <v>261</v>
      </c>
      <c r="J31" s="1" t="s">
        <v>5</v>
      </c>
      <c r="K31" s="0" t="n">
        <v>21.162408</v>
      </c>
      <c r="L31" s="0" t="s">
        <v>262</v>
      </c>
      <c r="M31" s="1" t="s">
        <v>5</v>
      </c>
      <c r="N31" s="0" t="n">
        <v>38.537358</v>
      </c>
      <c r="O31" s="0" t="s">
        <v>224</v>
      </c>
      <c r="P31" s="1" t="s">
        <v>5</v>
      </c>
      <c r="Q31" s="0" t="n">
        <v>19.791908</v>
      </c>
      <c r="R31" s="0" t="s">
        <v>9</v>
      </c>
      <c r="S31" s="1" t="s">
        <v>6</v>
      </c>
      <c r="T31" s="0" t="s">
        <v>10</v>
      </c>
      <c r="U31" s="0" t="s">
        <v>253</v>
      </c>
      <c r="V31" s="0" t="s">
        <v>254</v>
      </c>
      <c r="W31" s="0" t="n">
        <v>64.08783</v>
      </c>
      <c r="X31" s="0" t="s">
        <v>255</v>
      </c>
      <c r="Y31" s="1" t="s">
        <v>5</v>
      </c>
      <c r="Z31" s="0" t="n">
        <v>42.930147</v>
      </c>
      <c r="AA31" s="0" t="s">
        <v>264</v>
      </c>
      <c r="AB31" s="1" t="s">
        <v>6</v>
      </c>
      <c r="AC31" s="0" t="n">
        <v>37.842412</v>
      </c>
      <c r="AE31" s="1" t="s">
        <v>6</v>
      </c>
      <c r="AF31" s="0" t="n">
        <v>28.890521</v>
      </c>
      <c r="AG31" s="0" t="s">
        <v>257</v>
      </c>
      <c r="AH31" s="1" t="s">
        <v>5</v>
      </c>
      <c r="AI31" s="0" t="n">
        <v>30.0959</v>
      </c>
      <c r="AJ31" s="0" t="s">
        <v>15</v>
      </c>
      <c r="AK31" s="1" t="s">
        <v>6</v>
      </c>
      <c r="AL31" s="0" t="s">
        <v>258</v>
      </c>
      <c r="AM31" s="0" t="s">
        <v>253</v>
      </c>
      <c r="AN31" s="0" t="s">
        <v>254</v>
      </c>
      <c r="AO31" s="0" t="n">
        <v>42.855745</v>
      </c>
      <c r="AP31" s="0" t="n">
        <v>0</v>
      </c>
      <c r="AQ31" s="0" t="n">
        <v>0</v>
      </c>
      <c r="AR31" s="0" t="s">
        <v>312</v>
      </c>
      <c r="AS31" s="2" t="str">
        <f aca="false">IF(AND(G31="true",J31="true",M31="true",P31="true",S31="true"),"true","false")</f>
        <v>false</v>
      </c>
      <c r="AT31" s="0" t="str">
        <f aca="false">IF(AND(Y31="true",AB31="true",AE31="true",AH31="true",AK31="true"),"true","false")</f>
        <v>false</v>
      </c>
    </row>
    <row r="32" customFormat="false" ht="12.8" hidden="false" customHeight="false" outlineLevel="0" collapsed="false">
      <c r="A32" s="0" t="s">
        <v>313</v>
      </c>
      <c r="B32" s="0" t="s">
        <v>1</v>
      </c>
      <c r="C32" s="0" t="s">
        <v>253</v>
      </c>
      <c r="D32" s="0" t="s">
        <v>254</v>
      </c>
      <c r="E32" s="0" t="n">
        <v>35.185173</v>
      </c>
      <c r="F32" s="0" t="s">
        <v>255</v>
      </c>
      <c r="G32" s="1" t="s">
        <v>5</v>
      </c>
      <c r="H32" s="0" t="n">
        <v>19.934299</v>
      </c>
      <c r="I32" s="0" t="s">
        <v>255</v>
      </c>
      <c r="J32" s="1" t="s">
        <v>5</v>
      </c>
      <c r="K32" s="0" t="n">
        <v>10.335619</v>
      </c>
      <c r="L32" s="0" t="s">
        <v>256</v>
      </c>
      <c r="M32" s="1" t="s">
        <v>5</v>
      </c>
      <c r="N32" s="0" t="n">
        <v>22.228757</v>
      </c>
      <c r="O32" s="0" t="s">
        <v>257</v>
      </c>
      <c r="P32" s="1" t="s">
        <v>5</v>
      </c>
      <c r="Q32" s="0" t="n">
        <v>12.606309</v>
      </c>
      <c r="R32" s="0" t="s">
        <v>15</v>
      </c>
      <c r="S32" s="1" t="s">
        <v>6</v>
      </c>
      <c r="T32" s="0" t="s">
        <v>10</v>
      </c>
      <c r="U32" s="0" t="s">
        <v>258</v>
      </c>
      <c r="V32" s="0" t="s">
        <v>254</v>
      </c>
      <c r="W32" s="0" t="n">
        <v>86.984535</v>
      </c>
      <c r="X32" s="0" t="s">
        <v>260</v>
      </c>
      <c r="Y32" s="1" t="s">
        <v>5</v>
      </c>
      <c r="Z32" s="0" t="n">
        <v>16.281197</v>
      </c>
      <c r="AA32" s="0" t="s">
        <v>261</v>
      </c>
      <c r="AB32" s="1" t="s">
        <v>5</v>
      </c>
      <c r="AC32" s="0" t="n">
        <v>5.942316</v>
      </c>
      <c r="AD32" s="0" t="s">
        <v>262</v>
      </c>
      <c r="AE32" s="1" t="s">
        <v>5</v>
      </c>
      <c r="AF32" s="0" t="n">
        <v>15.238106</v>
      </c>
      <c r="AG32" s="0" t="s">
        <v>224</v>
      </c>
      <c r="AH32" s="1" t="s">
        <v>5</v>
      </c>
      <c r="AI32" s="0" t="n">
        <v>21.144226</v>
      </c>
      <c r="AJ32" s="0" t="s">
        <v>9</v>
      </c>
      <c r="AK32" s="1" t="s">
        <v>5</v>
      </c>
      <c r="AL32" s="0" t="s">
        <v>253</v>
      </c>
      <c r="AM32" s="0" t="s">
        <v>258</v>
      </c>
      <c r="AN32" s="0" t="s">
        <v>254</v>
      </c>
      <c r="AO32" s="0" t="n">
        <v>4.512169</v>
      </c>
      <c r="AP32" s="0" t="n">
        <v>0</v>
      </c>
      <c r="AQ32" s="0" t="n">
        <v>0</v>
      </c>
      <c r="AS32" s="2" t="str">
        <f aca="false">IF(AND(G32="true",J32="true",M32="true",P32="true",S32="true"),"true","false")</f>
        <v>false</v>
      </c>
      <c r="AT32" s="0" t="str">
        <f aca="false">IF(AND(Y32="true",AB32="true",AE32="true",AH32="true",AK32="true"),"true","false")</f>
        <v>true</v>
      </c>
    </row>
    <row r="33" customFormat="false" ht="12.8" hidden="false" customHeight="false" outlineLevel="0" collapsed="false">
      <c r="A33" s="0" t="s">
        <v>314</v>
      </c>
      <c r="B33" s="0" t="s">
        <v>1</v>
      </c>
      <c r="C33" s="0" t="s">
        <v>253</v>
      </c>
      <c r="D33" s="0" t="s">
        <v>254</v>
      </c>
      <c r="E33" s="0" t="n">
        <v>33.257483</v>
      </c>
      <c r="F33" s="0" t="s">
        <v>255</v>
      </c>
      <c r="G33" s="1" t="s">
        <v>5</v>
      </c>
      <c r="H33" s="0" t="n">
        <v>28.901315</v>
      </c>
      <c r="I33" s="0" t="s">
        <v>255</v>
      </c>
      <c r="J33" s="1" t="s">
        <v>5</v>
      </c>
      <c r="K33" s="0" t="n">
        <v>14.752652</v>
      </c>
      <c r="L33" s="0" t="s">
        <v>256</v>
      </c>
      <c r="M33" s="1" t="s">
        <v>5</v>
      </c>
      <c r="N33" s="0" t="n">
        <v>21.871042</v>
      </c>
      <c r="O33" s="0" t="s">
        <v>257</v>
      </c>
      <c r="P33" s="1" t="s">
        <v>5</v>
      </c>
      <c r="Q33" s="0" t="n">
        <v>94.945339</v>
      </c>
      <c r="R33" s="0" t="s">
        <v>9</v>
      </c>
      <c r="S33" s="1" t="s">
        <v>6</v>
      </c>
      <c r="T33" s="0" t="s">
        <v>10</v>
      </c>
      <c r="U33" s="0" t="s">
        <v>258</v>
      </c>
      <c r="V33" s="0" t="s">
        <v>254</v>
      </c>
      <c r="W33" s="0" t="n">
        <v>21.540345</v>
      </c>
      <c r="X33" s="0" t="s">
        <v>260</v>
      </c>
      <c r="Y33" s="1" t="s">
        <v>5</v>
      </c>
      <c r="Z33" s="0" t="n">
        <v>11.50521</v>
      </c>
      <c r="AA33" s="0" t="s">
        <v>261</v>
      </c>
      <c r="AB33" s="1" t="s">
        <v>5</v>
      </c>
      <c r="AC33" s="0" t="n">
        <v>5.334127</v>
      </c>
      <c r="AD33" s="0" t="s">
        <v>262</v>
      </c>
      <c r="AE33" s="1" t="s">
        <v>5</v>
      </c>
      <c r="AF33" s="0" t="n">
        <v>29.292685</v>
      </c>
      <c r="AG33" s="0" t="s">
        <v>224</v>
      </c>
      <c r="AH33" s="1" t="s">
        <v>5</v>
      </c>
      <c r="AI33" s="0" t="n">
        <v>12.486282</v>
      </c>
      <c r="AJ33" s="0" t="s">
        <v>9</v>
      </c>
      <c r="AK33" s="1" t="s">
        <v>5</v>
      </c>
      <c r="AL33" s="0" t="s">
        <v>253</v>
      </c>
      <c r="AM33" s="0" t="s">
        <v>258</v>
      </c>
      <c r="AN33" s="0" t="s">
        <v>254</v>
      </c>
      <c r="AO33" s="0" t="n">
        <v>4.19508</v>
      </c>
      <c r="AP33" s="0" t="n">
        <v>0</v>
      </c>
      <c r="AQ33" s="0" t="n">
        <v>0</v>
      </c>
      <c r="AS33" s="2" t="str">
        <f aca="false">IF(AND(G33="true",J33="true",M33="true",P33="true",S33="true"),"true","false")</f>
        <v>false</v>
      </c>
      <c r="AT33" s="0" t="str">
        <f aca="false">IF(AND(Y33="true",AB33="true",AE33="true",AH33="true",AK33="true"),"true","false")</f>
        <v>true</v>
      </c>
    </row>
    <row r="34" customFormat="false" ht="12.8" hidden="false" customHeight="false" outlineLevel="0" collapsed="false">
      <c r="A34" s="0" t="s">
        <v>315</v>
      </c>
      <c r="B34" s="0" t="s">
        <v>1</v>
      </c>
      <c r="C34" s="0" t="s">
        <v>258</v>
      </c>
      <c r="D34" s="0" t="s">
        <v>254</v>
      </c>
      <c r="E34" s="0" t="n">
        <v>32.598218</v>
      </c>
      <c r="F34" s="0" t="s">
        <v>261</v>
      </c>
      <c r="G34" s="1" t="s">
        <v>6</v>
      </c>
      <c r="H34" s="0" t="n">
        <v>13.388479</v>
      </c>
      <c r="I34" s="0" t="s">
        <v>262</v>
      </c>
      <c r="J34" s="1" t="s">
        <v>6</v>
      </c>
      <c r="K34" s="0" t="n">
        <v>25.018103</v>
      </c>
      <c r="L34" s="0" t="s">
        <v>262</v>
      </c>
      <c r="M34" s="1" t="s">
        <v>5</v>
      </c>
      <c r="N34" s="0" t="n">
        <v>30.937878</v>
      </c>
      <c r="O34" s="0" t="s">
        <v>70</v>
      </c>
      <c r="P34" s="1" t="s">
        <v>6</v>
      </c>
      <c r="Q34" s="0" t="n">
        <v>17.713257</v>
      </c>
      <c r="R34" s="0" t="s">
        <v>9</v>
      </c>
      <c r="S34" s="1" t="s">
        <v>6</v>
      </c>
      <c r="T34" s="0" t="s">
        <v>10</v>
      </c>
      <c r="U34" s="0" t="s">
        <v>253</v>
      </c>
      <c r="V34" s="0" t="s">
        <v>254</v>
      </c>
      <c r="W34" s="0" t="n">
        <v>38.178912</v>
      </c>
      <c r="X34" s="0" t="s">
        <v>264</v>
      </c>
      <c r="Y34" s="1" t="s">
        <v>6</v>
      </c>
      <c r="Z34" s="0" t="n">
        <v>26.103334</v>
      </c>
      <c r="AA34" s="0" t="s">
        <v>256</v>
      </c>
      <c r="AB34" s="1" t="s">
        <v>6</v>
      </c>
      <c r="AC34" s="0" t="n">
        <v>30.915123</v>
      </c>
      <c r="AD34" s="0" t="s">
        <v>264</v>
      </c>
      <c r="AE34" s="1" t="s">
        <v>6</v>
      </c>
      <c r="AF34" s="0" t="n">
        <v>44.870392</v>
      </c>
      <c r="AH34" s="1" t="s">
        <v>6</v>
      </c>
      <c r="AI34" s="0" t="n">
        <v>15.489676</v>
      </c>
      <c r="AJ34" s="0" t="s">
        <v>15</v>
      </c>
      <c r="AK34" s="1" t="s">
        <v>6</v>
      </c>
      <c r="AL34" s="0" t="s">
        <v>258</v>
      </c>
      <c r="AM34" s="0" t="s">
        <v>253</v>
      </c>
      <c r="AN34" s="0" t="s">
        <v>254</v>
      </c>
      <c r="AO34" s="0" t="n">
        <v>6.933015</v>
      </c>
      <c r="AP34" s="0" t="n">
        <v>2</v>
      </c>
      <c r="AQ34" s="0" t="n">
        <v>0</v>
      </c>
      <c r="AS34" s="2" t="str">
        <f aca="false">IF(AND(G34="true",J34="true",M34="true",P34="true",S34="true"),"true","false")</f>
        <v>false</v>
      </c>
      <c r="AT34" s="0" t="str">
        <f aca="false">IF(AND(Y34="true",AB34="true",AE34="true",AH34="true",AK34="true"),"true","false")</f>
        <v>false</v>
      </c>
    </row>
    <row r="35" customFormat="false" ht="12.8" hidden="false" customHeight="false" outlineLevel="0" collapsed="false">
      <c r="A35" s="0" t="s">
        <v>316</v>
      </c>
      <c r="B35" s="0" t="s">
        <v>1</v>
      </c>
      <c r="C35" s="0" t="s">
        <v>258</v>
      </c>
      <c r="D35" s="0" t="s">
        <v>254</v>
      </c>
      <c r="E35" s="0" t="n">
        <v>32.007435</v>
      </c>
      <c r="F35" s="0" t="s">
        <v>260</v>
      </c>
      <c r="G35" s="1" t="s">
        <v>5</v>
      </c>
      <c r="H35" s="0" t="n">
        <v>12.104321</v>
      </c>
      <c r="I35" s="0" t="s">
        <v>261</v>
      </c>
      <c r="J35" s="1" t="s">
        <v>5</v>
      </c>
      <c r="K35" s="0" t="n">
        <v>4.686832</v>
      </c>
      <c r="L35" s="0" t="s">
        <v>262</v>
      </c>
      <c r="M35" s="1" t="s">
        <v>5</v>
      </c>
      <c r="N35" s="0" t="n">
        <v>23.546774</v>
      </c>
      <c r="O35" s="0" t="s">
        <v>224</v>
      </c>
      <c r="P35" s="1" t="s">
        <v>5</v>
      </c>
      <c r="Q35" s="0" t="n">
        <v>7.08677</v>
      </c>
      <c r="R35" s="0" t="s">
        <v>9</v>
      </c>
      <c r="S35" s="1" t="s">
        <v>6</v>
      </c>
      <c r="T35" s="0" t="s">
        <v>10</v>
      </c>
      <c r="U35" s="0" t="s">
        <v>253</v>
      </c>
      <c r="V35" s="0" t="s">
        <v>254</v>
      </c>
      <c r="W35" s="0" t="n">
        <v>52.573512</v>
      </c>
      <c r="X35" s="0" t="s">
        <v>255</v>
      </c>
      <c r="Y35" s="1" t="s">
        <v>5</v>
      </c>
      <c r="Z35" s="0" t="n">
        <v>10.424012</v>
      </c>
      <c r="AA35" s="0" t="s">
        <v>264</v>
      </c>
      <c r="AB35" s="1" t="s">
        <v>6</v>
      </c>
      <c r="AC35" s="0" t="n">
        <v>11.712161</v>
      </c>
      <c r="AD35" s="0" t="s">
        <v>256</v>
      </c>
      <c r="AE35" s="1" t="s">
        <v>5</v>
      </c>
      <c r="AF35" s="0" t="n">
        <v>30.249843</v>
      </c>
      <c r="AG35" s="0" t="s">
        <v>257</v>
      </c>
      <c r="AH35" s="1" t="s">
        <v>5</v>
      </c>
      <c r="AI35" s="0" t="n">
        <v>18.543906</v>
      </c>
      <c r="AJ35" s="0" t="s">
        <v>9</v>
      </c>
      <c r="AK35" s="1" t="s">
        <v>5</v>
      </c>
      <c r="AL35" s="0" t="s">
        <v>258</v>
      </c>
      <c r="AM35" s="0" t="s">
        <v>253</v>
      </c>
      <c r="AN35" s="0" t="s">
        <v>254</v>
      </c>
      <c r="AO35" s="0" t="n">
        <v>38.136129</v>
      </c>
      <c r="AP35" s="0" t="n">
        <v>1</v>
      </c>
      <c r="AQ35" s="0" t="n">
        <v>1</v>
      </c>
      <c r="AR35" s="0" t="s">
        <v>317</v>
      </c>
      <c r="AS35" s="2" t="str">
        <f aca="false">IF(AND(G35="true",J35="true",M35="true",P35="true",S35="true"),"true","false")</f>
        <v>false</v>
      </c>
      <c r="AT35" s="0" t="str">
        <f aca="false">IF(AND(Y35="true",AB35="true",AE35="true",AH35="true",AK35="true"),"true","false")</f>
        <v>false</v>
      </c>
    </row>
    <row r="36" customFormat="false" ht="12.8" hidden="false" customHeight="false" outlineLevel="0" collapsed="false">
      <c r="A36" s="0" t="s">
        <v>318</v>
      </c>
      <c r="B36" s="0" t="s">
        <v>1</v>
      </c>
      <c r="C36" s="0" t="s">
        <v>258</v>
      </c>
      <c r="D36" s="0" t="s">
        <v>254</v>
      </c>
      <c r="E36" s="0" t="n">
        <v>15.501712</v>
      </c>
      <c r="F36" s="0" t="s">
        <v>260</v>
      </c>
      <c r="G36" s="1" t="s">
        <v>5</v>
      </c>
      <c r="H36" s="0" t="n">
        <v>12.321626</v>
      </c>
      <c r="I36" s="0" t="s">
        <v>261</v>
      </c>
      <c r="J36" s="1" t="s">
        <v>5</v>
      </c>
      <c r="K36" s="0" t="n">
        <v>4.568255</v>
      </c>
      <c r="L36" s="0" t="s">
        <v>262</v>
      </c>
      <c r="M36" s="1" t="s">
        <v>5</v>
      </c>
      <c r="N36" s="0" t="n">
        <v>19.691819</v>
      </c>
      <c r="O36" s="0" t="s">
        <v>224</v>
      </c>
      <c r="P36" s="1" t="s">
        <v>5</v>
      </c>
      <c r="Q36" s="0" t="n">
        <v>8.475245</v>
      </c>
      <c r="R36" s="0" t="s">
        <v>9</v>
      </c>
      <c r="S36" s="1" t="s">
        <v>6</v>
      </c>
      <c r="T36" s="0" t="s">
        <v>10</v>
      </c>
      <c r="U36" s="0" t="s">
        <v>253</v>
      </c>
      <c r="V36" s="0" t="s">
        <v>254</v>
      </c>
      <c r="W36" s="0" t="n">
        <v>16.192254</v>
      </c>
      <c r="X36" s="0" t="s">
        <v>284</v>
      </c>
      <c r="Y36" s="1" t="s">
        <v>6</v>
      </c>
      <c r="Z36" s="0" t="n">
        <v>42.633025</v>
      </c>
      <c r="AA36" s="0" t="s">
        <v>264</v>
      </c>
      <c r="AB36" s="1" t="s">
        <v>6</v>
      </c>
      <c r="AC36" s="0" t="n">
        <v>1.62677</v>
      </c>
      <c r="AE36" s="1" t="s">
        <v>6</v>
      </c>
      <c r="AF36" s="0" t="n">
        <v>18.869159</v>
      </c>
      <c r="AG36" s="0" t="s">
        <v>257</v>
      </c>
      <c r="AH36" s="1" t="s">
        <v>5</v>
      </c>
      <c r="AI36" s="0" t="n">
        <v>17.180047</v>
      </c>
      <c r="AJ36" s="0" t="s">
        <v>9</v>
      </c>
      <c r="AK36" s="1" t="s">
        <v>5</v>
      </c>
      <c r="AL36" s="0" t="s">
        <v>258</v>
      </c>
      <c r="AM36" s="0" t="s">
        <v>253</v>
      </c>
      <c r="AN36" s="0" t="s">
        <v>254</v>
      </c>
      <c r="AO36" s="0" t="n">
        <v>6.349537</v>
      </c>
      <c r="AP36" s="0" t="n">
        <v>2</v>
      </c>
      <c r="AQ36" s="0" t="n">
        <v>-1</v>
      </c>
      <c r="AS36" s="2" t="str">
        <f aca="false">IF(AND(G36="true",J36="true",M36="true",P36="true",S36="true"),"true","false")</f>
        <v>false</v>
      </c>
      <c r="AT36" s="0" t="str">
        <f aca="false">IF(AND(Y36="true",AB36="true",AE36="true",AH36="true",AK36="true"),"true","false")</f>
        <v>false</v>
      </c>
    </row>
    <row r="37" customFormat="false" ht="12.8" hidden="false" customHeight="false" outlineLevel="0" collapsed="false">
      <c r="A37" s="0" t="s">
        <v>319</v>
      </c>
      <c r="B37" s="0" t="s">
        <v>1</v>
      </c>
      <c r="C37" s="0" t="s">
        <v>253</v>
      </c>
      <c r="D37" s="0" t="s">
        <v>254</v>
      </c>
      <c r="E37" s="0" t="n">
        <v>22.607248</v>
      </c>
      <c r="F37" s="0" t="s">
        <v>255</v>
      </c>
      <c r="G37" s="1" t="s">
        <v>5</v>
      </c>
      <c r="H37" s="0" t="n">
        <v>14.345925</v>
      </c>
      <c r="I37" s="0" t="s">
        <v>255</v>
      </c>
      <c r="J37" s="1" t="s">
        <v>5</v>
      </c>
      <c r="K37" s="0" t="n">
        <v>8.337695</v>
      </c>
      <c r="L37" s="0" t="s">
        <v>256</v>
      </c>
      <c r="M37" s="1" t="s">
        <v>5</v>
      </c>
      <c r="N37" s="0" t="n">
        <v>29.846192</v>
      </c>
      <c r="O37" s="0" t="s">
        <v>257</v>
      </c>
      <c r="P37" s="1" t="s">
        <v>5</v>
      </c>
      <c r="Q37" s="0" t="n">
        <v>45.68641</v>
      </c>
      <c r="R37" s="0" t="s">
        <v>15</v>
      </c>
      <c r="S37" s="1" t="s">
        <v>6</v>
      </c>
      <c r="T37" s="0" t="s">
        <v>10</v>
      </c>
      <c r="U37" s="0" t="s">
        <v>258</v>
      </c>
      <c r="V37" s="0" t="s">
        <v>254</v>
      </c>
      <c r="W37" s="0" t="n">
        <v>20.908913</v>
      </c>
      <c r="X37" s="0" t="s">
        <v>260</v>
      </c>
      <c r="Y37" s="1" t="s">
        <v>5</v>
      </c>
      <c r="Z37" s="0" t="n">
        <v>11.672422</v>
      </c>
      <c r="AA37" s="0" t="s">
        <v>261</v>
      </c>
      <c r="AB37" s="1" t="s">
        <v>5</v>
      </c>
      <c r="AC37" s="0" t="n">
        <v>0.344202</v>
      </c>
      <c r="AE37" s="1" t="s">
        <v>6</v>
      </c>
      <c r="AF37" s="0" t="n">
        <v>37.251923</v>
      </c>
      <c r="AG37" s="0" t="s">
        <v>224</v>
      </c>
      <c r="AH37" s="1" t="s">
        <v>5</v>
      </c>
      <c r="AI37" s="0" t="n">
        <v>11.685201</v>
      </c>
      <c r="AJ37" s="0" t="s">
        <v>9</v>
      </c>
      <c r="AK37" s="1" t="s">
        <v>5</v>
      </c>
      <c r="AL37" s="0" t="s">
        <v>253</v>
      </c>
      <c r="AM37" s="0" t="s">
        <v>258</v>
      </c>
      <c r="AN37" s="0" t="s">
        <v>254</v>
      </c>
      <c r="AO37" s="0" t="n">
        <v>67.796104</v>
      </c>
      <c r="AP37" s="0" t="n">
        <v>1</v>
      </c>
      <c r="AQ37" s="0" t="n">
        <v>1</v>
      </c>
      <c r="AR37" s="0" t="s">
        <v>320</v>
      </c>
      <c r="AS37" s="2" t="str">
        <f aca="false">IF(AND(G37="true",J37="true",M37="true",P37="true",S37="true"),"true","false")</f>
        <v>false</v>
      </c>
      <c r="AT37" s="0" t="str">
        <f aca="false">IF(AND(Y37="true",AB37="true",AE37="true",AH37="true",AK37="true"),"true","false")</f>
        <v>false</v>
      </c>
    </row>
    <row r="38" customFormat="false" ht="12.8" hidden="false" customHeight="false" outlineLevel="0" collapsed="false">
      <c r="A38" s="0" t="s">
        <v>321</v>
      </c>
      <c r="B38" s="0" t="s">
        <v>1</v>
      </c>
      <c r="C38" s="0" t="s">
        <v>258</v>
      </c>
      <c r="D38" s="0" t="s">
        <v>254</v>
      </c>
      <c r="E38" s="0" t="n">
        <v>20.665645</v>
      </c>
      <c r="F38" s="0" t="s">
        <v>260</v>
      </c>
      <c r="G38" s="1" t="s">
        <v>5</v>
      </c>
      <c r="H38" s="0" t="n">
        <v>9.278596</v>
      </c>
      <c r="I38" s="0" t="s">
        <v>261</v>
      </c>
      <c r="J38" s="1" t="s">
        <v>5</v>
      </c>
      <c r="K38" s="0" t="n">
        <v>4.913327</v>
      </c>
      <c r="L38" s="0" t="s">
        <v>262</v>
      </c>
      <c r="M38" s="1" t="s">
        <v>5</v>
      </c>
      <c r="N38" s="0" t="n">
        <v>25.633219</v>
      </c>
      <c r="O38" s="0" t="s">
        <v>224</v>
      </c>
      <c r="P38" s="1" t="s">
        <v>5</v>
      </c>
      <c r="Q38" s="0" t="n">
        <v>30.746245</v>
      </c>
      <c r="R38" s="0" t="s">
        <v>9</v>
      </c>
      <c r="S38" s="1" t="s">
        <v>6</v>
      </c>
      <c r="T38" s="0" t="s">
        <v>10</v>
      </c>
      <c r="U38" s="0" t="s">
        <v>253</v>
      </c>
      <c r="V38" s="0" t="s">
        <v>254</v>
      </c>
      <c r="W38" s="0" t="n">
        <v>25.883271</v>
      </c>
      <c r="X38" s="0" t="s">
        <v>264</v>
      </c>
      <c r="Y38" s="1" t="s">
        <v>6</v>
      </c>
      <c r="Z38" s="0" t="n">
        <v>10.091275</v>
      </c>
      <c r="AA38" s="0" t="s">
        <v>264</v>
      </c>
      <c r="AB38" s="1" t="s">
        <v>6</v>
      </c>
      <c r="AC38" s="0" t="n">
        <v>38.407057</v>
      </c>
      <c r="AD38" s="0" t="s">
        <v>256</v>
      </c>
      <c r="AE38" s="1" t="s">
        <v>5</v>
      </c>
      <c r="AF38" s="0" t="n">
        <v>37.710464</v>
      </c>
      <c r="AG38" s="0" t="s">
        <v>257</v>
      </c>
      <c r="AH38" s="1" t="s">
        <v>5</v>
      </c>
      <c r="AI38" s="0" t="n">
        <v>22.059869</v>
      </c>
      <c r="AJ38" s="0" t="s">
        <v>15</v>
      </c>
      <c r="AK38" s="1" t="s">
        <v>6</v>
      </c>
      <c r="AL38" s="0" t="s">
        <v>258</v>
      </c>
      <c r="AM38" s="0" t="s">
        <v>253</v>
      </c>
      <c r="AN38" s="0" t="s">
        <v>254</v>
      </c>
      <c r="AO38" s="0" t="n">
        <v>7.558243</v>
      </c>
      <c r="AP38" s="0" t="n">
        <v>-2</v>
      </c>
      <c r="AQ38" s="0" t="n">
        <v>0</v>
      </c>
      <c r="AS38" s="2" t="str">
        <f aca="false">IF(AND(G38="true",J38="true",M38="true",P38="true",S38="true"),"true","false")</f>
        <v>false</v>
      </c>
      <c r="AT38" s="0" t="str">
        <f aca="false">IF(AND(Y38="true",AB38="true",AE38="true",AH38="true",AK38="true"),"true","false")</f>
        <v>false</v>
      </c>
    </row>
    <row r="39" customFormat="false" ht="12.8" hidden="false" customHeight="false" outlineLevel="0" collapsed="false">
      <c r="A39" s="0" t="s">
        <v>322</v>
      </c>
      <c r="B39" s="0" t="s">
        <v>1</v>
      </c>
      <c r="C39" s="0" t="s">
        <v>253</v>
      </c>
      <c r="D39" s="0" t="s">
        <v>254</v>
      </c>
      <c r="E39" s="0" t="n">
        <v>25.55342</v>
      </c>
      <c r="F39" s="0" t="s">
        <v>255</v>
      </c>
      <c r="G39" s="1" t="s">
        <v>5</v>
      </c>
      <c r="H39" s="0" t="n">
        <v>14.325728</v>
      </c>
      <c r="I39" s="0" t="s">
        <v>255</v>
      </c>
      <c r="J39" s="1" t="s">
        <v>5</v>
      </c>
      <c r="K39" s="0" t="n">
        <v>7.973732</v>
      </c>
      <c r="L39" s="0" t="s">
        <v>256</v>
      </c>
      <c r="M39" s="1" t="s">
        <v>5</v>
      </c>
      <c r="N39" s="0" t="n">
        <v>17.39842</v>
      </c>
      <c r="O39" s="0" t="s">
        <v>257</v>
      </c>
      <c r="P39" s="1" t="s">
        <v>5</v>
      </c>
      <c r="Q39" s="0" t="n">
        <v>19.469438</v>
      </c>
      <c r="R39" s="0" t="s">
        <v>15</v>
      </c>
      <c r="S39" s="1" t="s">
        <v>6</v>
      </c>
      <c r="T39" s="0" t="s">
        <v>10</v>
      </c>
      <c r="U39" s="0" t="s">
        <v>258</v>
      </c>
      <c r="V39" s="0" t="s">
        <v>254</v>
      </c>
      <c r="W39" s="0" t="n">
        <v>38.970209</v>
      </c>
      <c r="X39" s="0" t="s">
        <v>260</v>
      </c>
      <c r="Y39" s="1" t="s">
        <v>5</v>
      </c>
      <c r="Z39" s="0" t="n">
        <v>13.546398</v>
      </c>
      <c r="AA39" s="0" t="s">
        <v>261</v>
      </c>
      <c r="AB39" s="1" t="s">
        <v>5</v>
      </c>
      <c r="AC39" s="0" t="n">
        <v>26.268035</v>
      </c>
      <c r="AD39" s="0" t="s">
        <v>262</v>
      </c>
      <c r="AE39" s="1" t="s">
        <v>5</v>
      </c>
      <c r="AF39" s="0" t="n">
        <v>11.423123</v>
      </c>
      <c r="AG39" s="0" t="s">
        <v>65</v>
      </c>
      <c r="AH39" s="1" t="s">
        <v>6</v>
      </c>
      <c r="AI39" s="0" t="n">
        <v>29.272618</v>
      </c>
      <c r="AJ39" s="0" t="s">
        <v>15</v>
      </c>
      <c r="AK39" s="1" t="s">
        <v>6</v>
      </c>
      <c r="AL39" s="0" t="s">
        <v>253</v>
      </c>
      <c r="AM39" s="0" t="s">
        <v>258</v>
      </c>
      <c r="AN39" s="0" t="s">
        <v>254</v>
      </c>
      <c r="AO39" s="0" t="n">
        <v>6.940302</v>
      </c>
      <c r="AP39" s="0" t="n">
        <v>1</v>
      </c>
      <c r="AQ39" s="0" t="n">
        <v>-1</v>
      </c>
      <c r="AS39" s="2" t="str">
        <f aca="false">IF(AND(G39="true",J39="true",M39="true",P39="true",S39="true"),"true","false")</f>
        <v>false</v>
      </c>
      <c r="AT39" s="0" t="str">
        <f aca="false">IF(AND(Y39="true",AB39="true",AE39="true",AH39="true",AK39="true"),"true","false")</f>
        <v>false</v>
      </c>
    </row>
    <row r="40" customFormat="false" ht="12.8" hidden="false" customHeight="false" outlineLevel="0" collapsed="false">
      <c r="A40" s="0" t="s">
        <v>323</v>
      </c>
      <c r="B40" s="0" t="s">
        <v>1</v>
      </c>
      <c r="C40" s="0" t="s">
        <v>258</v>
      </c>
      <c r="D40" s="0" t="s">
        <v>254</v>
      </c>
      <c r="E40" s="0" t="n">
        <v>27.465554</v>
      </c>
      <c r="F40" s="0" t="s">
        <v>260</v>
      </c>
      <c r="G40" s="1" t="s">
        <v>5</v>
      </c>
      <c r="H40" s="0" t="n">
        <v>13.740057</v>
      </c>
      <c r="I40" s="0" t="s">
        <v>262</v>
      </c>
      <c r="J40" s="1" t="s">
        <v>6</v>
      </c>
      <c r="K40" s="0" t="n">
        <v>9.847372</v>
      </c>
      <c r="L40" s="0" t="s">
        <v>261</v>
      </c>
      <c r="M40" s="1" t="s">
        <v>6</v>
      </c>
      <c r="N40" s="0" t="n">
        <v>19.848018</v>
      </c>
      <c r="O40" s="0" t="s">
        <v>224</v>
      </c>
      <c r="P40" s="1" t="s">
        <v>5</v>
      </c>
      <c r="Q40" s="0" t="n">
        <v>9.286975</v>
      </c>
      <c r="R40" s="0" t="s">
        <v>51</v>
      </c>
      <c r="S40" s="1" t="s">
        <v>5</v>
      </c>
      <c r="T40" s="0" t="s">
        <v>10</v>
      </c>
      <c r="U40" s="0" t="s">
        <v>253</v>
      </c>
      <c r="V40" s="0" t="s">
        <v>254</v>
      </c>
      <c r="W40" s="0" t="n">
        <v>149.067685</v>
      </c>
      <c r="X40" s="0" t="s">
        <v>255</v>
      </c>
      <c r="Y40" s="1" t="s">
        <v>5</v>
      </c>
      <c r="Z40" s="0" t="n">
        <v>24.876524</v>
      </c>
      <c r="AA40" s="0" t="s">
        <v>256</v>
      </c>
      <c r="AB40" s="1" t="s">
        <v>6</v>
      </c>
      <c r="AC40" s="0" t="n">
        <v>18.612018</v>
      </c>
      <c r="AD40" s="0" t="s">
        <v>264</v>
      </c>
      <c r="AE40" s="1" t="s">
        <v>6</v>
      </c>
      <c r="AF40" s="0" t="n">
        <v>21.102188</v>
      </c>
      <c r="AG40" s="0" t="s">
        <v>324</v>
      </c>
      <c r="AH40" s="1" t="s">
        <v>6</v>
      </c>
      <c r="AI40" s="0" t="n">
        <v>11.478482</v>
      </c>
      <c r="AJ40" s="0" t="s">
        <v>51</v>
      </c>
      <c r="AK40" s="1" t="s">
        <v>6</v>
      </c>
      <c r="AL40" s="0" t="s">
        <v>258</v>
      </c>
      <c r="AM40" s="0" t="s">
        <v>253</v>
      </c>
      <c r="AN40" s="0" t="s">
        <v>254</v>
      </c>
      <c r="AO40" s="0" t="n">
        <v>3.602837</v>
      </c>
      <c r="AS40" s="2" t="str">
        <f aca="false">IF(AND(G40="true",J40="true",M40="true",P40="true",S40="true"),"true","false")</f>
        <v>false</v>
      </c>
      <c r="AT40" s="0" t="str">
        <f aca="false">IF(AND(Y40="true",AB40="true",AE40="true",AH40="true",AK40="true"),"true","false")</f>
        <v>false</v>
      </c>
    </row>
    <row r="41" customFormat="false" ht="12.8" hidden="false" customHeight="false" outlineLevel="0" collapsed="false">
      <c r="A41" s="0" t="s">
        <v>325</v>
      </c>
      <c r="B41" s="0" t="s">
        <v>1</v>
      </c>
      <c r="C41" s="0" t="s">
        <v>253</v>
      </c>
      <c r="D41" s="0" t="s">
        <v>254</v>
      </c>
      <c r="E41" s="0" t="n">
        <v>20.457459</v>
      </c>
      <c r="F41" s="0" t="s">
        <v>326</v>
      </c>
      <c r="G41" s="1" t="s">
        <v>6</v>
      </c>
      <c r="H41" s="0" t="n">
        <v>15.047231</v>
      </c>
      <c r="I41" s="0" t="s">
        <v>327</v>
      </c>
      <c r="J41" s="1" t="s">
        <v>6</v>
      </c>
      <c r="K41" s="0" t="n">
        <v>12.818416</v>
      </c>
      <c r="L41" s="0" t="s">
        <v>256</v>
      </c>
      <c r="M41" s="1" t="s">
        <v>5</v>
      </c>
      <c r="N41" s="0" t="n">
        <v>53.29396</v>
      </c>
      <c r="O41" s="0" t="s">
        <v>328</v>
      </c>
      <c r="P41" s="1" t="s">
        <v>6</v>
      </c>
      <c r="Q41" s="0" t="n">
        <v>23.030766</v>
      </c>
      <c r="R41" s="0" t="s">
        <v>15</v>
      </c>
      <c r="S41" s="1" t="s">
        <v>6</v>
      </c>
      <c r="T41" s="0" t="s">
        <v>10</v>
      </c>
      <c r="U41" s="0" t="s">
        <v>258</v>
      </c>
      <c r="V41" s="0" t="s">
        <v>254</v>
      </c>
      <c r="W41" s="0" t="n">
        <v>21.250145</v>
      </c>
      <c r="X41" s="0" t="s">
        <v>260</v>
      </c>
      <c r="Y41" s="1" t="s">
        <v>5</v>
      </c>
      <c r="Z41" s="0" t="n">
        <v>19.092633</v>
      </c>
      <c r="AA41" s="0" t="s">
        <v>261</v>
      </c>
      <c r="AB41" s="1" t="s">
        <v>5</v>
      </c>
      <c r="AC41" s="0" t="n">
        <v>7.98835</v>
      </c>
      <c r="AD41" s="0" t="s">
        <v>262</v>
      </c>
      <c r="AE41" s="1" t="s">
        <v>5</v>
      </c>
      <c r="AF41" s="0" t="n">
        <v>18.929811</v>
      </c>
      <c r="AG41" s="0" t="s">
        <v>224</v>
      </c>
      <c r="AH41" s="1" t="s">
        <v>5</v>
      </c>
      <c r="AI41" s="0" t="n">
        <v>15.365883</v>
      </c>
      <c r="AJ41" s="0" t="s">
        <v>15</v>
      </c>
      <c r="AK41" s="1" t="s">
        <v>6</v>
      </c>
      <c r="AL41" s="0" t="s">
        <v>253</v>
      </c>
      <c r="AM41" s="0" t="s">
        <v>258</v>
      </c>
      <c r="AN41" s="0" t="s">
        <v>254</v>
      </c>
      <c r="AO41" s="0" t="n">
        <v>5.751828</v>
      </c>
      <c r="AP41" s="0" t="n">
        <v>0</v>
      </c>
      <c r="AQ41" s="0" t="n">
        <v>0</v>
      </c>
      <c r="AS41" s="2" t="str">
        <f aca="false">IF(AND(G41="true",J41="true",M41="true",P41="true",S41="true"),"true","false")</f>
        <v>false</v>
      </c>
      <c r="AT41" s="0" t="str">
        <f aca="false">IF(AND(Y41="true",AB41="true",AE41="true",AH41="true",AK41="true"),"true","false")</f>
        <v>false</v>
      </c>
    </row>
    <row r="42" customFormat="false" ht="12.8" hidden="false" customHeight="false" outlineLevel="0" collapsed="false">
      <c r="A42" s="0" t="s">
        <v>329</v>
      </c>
      <c r="B42" s="0" t="s">
        <v>1</v>
      </c>
      <c r="C42" s="0" t="s">
        <v>253</v>
      </c>
      <c r="D42" s="0" t="s">
        <v>254</v>
      </c>
      <c r="E42" s="0" t="n">
        <v>60.767218</v>
      </c>
      <c r="F42" s="0" t="s">
        <v>255</v>
      </c>
      <c r="G42" s="1" t="s">
        <v>5</v>
      </c>
      <c r="H42" s="0" t="n">
        <v>25.86239</v>
      </c>
      <c r="I42" s="0" t="s">
        <v>255</v>
      </c>
      <c r="J42" s="1" t="s">
        <v>5</v>
      </c>
      <c r="K42" s="0" t="n">
        <v>14.928049</v>
      </c>
      <c r="L42" s="0" t="s">
        <v>256</v>
      </c>
      <c r="M42" s="1" t="s">
        <v>5</v>
      </c>
      <c r="N42" s="0" t="n">
        <v>30.124015</v>
      </c>
      <c r="O42" s="0" t="s">
        <v>257</v>
      </c>
      <c r="P42" s="1" t="s">
        <v>5</v>
      </c>
      <c r="Q42" s="0" t="n">
        <v>58.962013</v>
      </c>
      <c r="R42" s="0" t="s">
        <v>15</v>
      </c>
      <c r="S42" s="1" t="s">
        <v>6</v>
      </c>
      <c r="T42" s="0" t="s">
        <v>10</v>
      </c>
      <c r="U42" s="0" t="s">
        <v>258</v>
      </c>
      <c r="V42" s="0" t="s">
        <v>254</v>
      </c>
      <c r="W42" s="0" t="n">
        <v>25.522723</v>
      </c>
      <c r="X42" s="0" t="s">
        <v>260</v>
      </c>
      <c r="Y42" s="1" t="s">
        <v>5</v>
      </c>
      <c r="Z42" s="0" t="n">
        <v>14.689746</v>
      </c>
      <c r="AA42" s="0" t="s">
        <v>261</v>
      </c>
      <c r="AB42" s="1" t="s">
        <v>5</v>
      </c>
      <c r="AC42" s="0" t="n">
        <v>5.315232</v>
      </c>
      <c r="AD42" s="0" t="s">
        <v>262</v>
      </c>
      <c r="AE42" s="1" t="s">
        <v>5</v>
      </c>
      <c r="AF42" s="0" t="n">
        <v>23.646823</v>
      </c>
      <c r="AG42" s="0" t="s">
        <v>224</v>
      </c>
      <c r="AH42" s="1" t="s">
        <v>5</v>
      </c>
      <c r="AI42" s="0" t="n">
        <v>36.263673</v>
      </c>
      <c r="AJ42" s="0" t="s">
        <v>9</v>
      </c>
      <c r="AK42" s="1" t="s">
        <v>5</v>
      </c>
      <c r="AL42" s="0" t="s">
        <v>253</v>
      </c>
      <c r="AM42" s="0" t="s">
        <v>258</v>
      </c>
      <c r="AN42" s="0" t="s">
        <v>254</v>
      </c>
      <c r="AO42" s="0" t="n">
        <v>7.66639</v>
      </c>
      <c r="AP42" s="0" t="n">
        <v>-1</v>
      </c>
      <c r="AQ42" s="0" t="n">
        <v>0</v>
      </c>
      <c r="AS42" s="2" t="str">
        <f aca="false">IF(AND(G42="true",J42="true",M42="true",P42="true",S42="true"),"true","false")</f>
        <v>false</v>
      </c>
      <c r="AT42" s="0" t="str">
        <f aca="false">IF(AND(Y42="true",AB42="true",AE42="true",AH42="true",AK42="true"),"true","false")</f>
        <v>true</v>
      </c>
    </row>
    <row r="43" customFormat="false" ht="12.8" hidden="false" customHeight="false" outlineLevel="0" collapsed="false">
      <c r="A43" s="0" t="s">
        <v>330</v>
      </c>
      <c r="B43" s="0" t="s">
        <v>1</v>
      </c>
      <c r="C43" s="0" t="s">
        <v>253</v>
      </c>
      <c r="D43" s="0" t="s">
        <v>254</v>
      </c>
      <c r="E43" s="0" t="n">
        <v>53.656367</v>
      </c>
      <c r="F43" s="0" t="s">
        <v>255</v>
      </c>
      <c r="G43" s="1" t="s">
        <v>5</v>
      </c>
      <c r="H43" s="0" t="n">
        <v>24.268533</v>
      </c>
      <c r="I43" s="0" t="s">
        <v>255</v>
      </c>
      <c r="J43" s="1" t="s">
        <v>5</v>
      </c>
      <c r="K43" s="0" t="n">
        <v>9.333981</v>
      </c>
      <c r="L43" s="0" t="s">
        <v>256</v>
      </c>
      <c r="M43" s="1" t="s">
        <v>5</v>
      </c>
      <c r="N43" s="0" t="n">
        <v>22.477679</v>
      </c>
      <c r="O43" s="0" t="s">
        <v>276</v>
      </c>
      <c r="P43" s="1" t="s">
        <v>6</v>
      </c>
      <c r="Q43" s="0" t="n">
        <v>8.608941</v>
      </c>
      <c r="R43" s="0" t="s">
        <v>15</v>
      </c>
      <c r="S43" s="1" t="s">
        <v>6</v>
      </c>
      <c r="T43" s="0" t="s">
        <v>10</v>
      </c>
      <c r="U43" s="0" t="s">
        <v>258</v>
      </c>
      <c r="V43" s="0" t="s">
        <v>254</v>
      </c>
      <c r="W43" s="0" t="n">
        <v>20.468529</v>
      </c>
      <c r="X43" s="0" t="s">
        <v>331</v>
      </c>
      <c r="Y43" s="1" t="s">
        <v>6</v>
      </c>
      <c r="Z43" s="0" t="n">
        <v>17.109414</v>
      </c>
      <c r="AA43" s="0" t="s">
        <v>261</v>
      </c>
      <c r="AB43" s="1" t="s">
        <v>5</v>
      </c>
      <c r="AC43" s="0" t="n">
        <v>10.57421</v>
      </c>
      <c r="AD43" s="0" t="s">
        <v>262</v>
      </c>
      <c r="AE43" s="1" t="s">
        <v>5</v>
      </c>
      <c r="AF43" s="0" t="n">
        <v>14.856413</v>
      </c>
      <c r="AG43" s="0" t="s">
        <v>224</v>
      </c>
      <c r="AH43" s="1" t="s">
        <v>5</v>
      </c>
      <c r="AI43" s="0" t="n">
        <v>15.161394</v>
      </c>
      <c r="AJ43" s="0" t="s">
        <v>15</v>
      </c>
      <c r="AK43" s="1" t="s">
        <v>6</v>
      </c>
      <c r="AL43" s="0" t="s">
        <v>253</v>
      </c>
      <c r="AM43" s="0" t="s">
        <v>258</v>
      </c>
      <c r="AN43" s="0" t="s">
        <v>254</v>
      </c>
      <c r="AO43" s="0" t="n">
        <v>150.956763</v>
      </c>
      <c r="AP43" s="0" t="n">
        <v>1</v>
      </c>
      <c r="AQ43" s="0" t="n">
        <v>1</v>
      </c>
      <c r="AR43" s="0" t="s">
        <v>332</v>
      </c>
      <c r="AS43" s="2" t="str">
        <f aca="false">IF(AND(G43="true",J43="true",M43="true",P43="true",S43="true"),"true","false")</f>
        <v>false</v>
      </c>
      <c r="AT43" s="0" t="str">
        <f aca="false">IF(AND(Y43="true",AB43="true",AE43="true",AH43="true",AK43="true"),"true","false")</f>
        <v>false</v>
      </c>
    </row>
    <row r="44" customFormat="false" ht="12.8" hidden="false" customHeight="false" outlineLevel="0" collapsed="false">
      <c r="A44" s="0" t="s">
        <v>333</v>
      </c>
      <c r="B44" s="0" t="s">
        <v>1</v>
      </c>
      <c r="C44" s="0" t="s">
        <v>253</v>
      </c>
      <c r="D44" s="0" t="s">
        <v>254</v>
      </c>
      <c r="E44" s="0" t="n">
        <v>26.186985</v>
      </c>
      <c r="F44" s="0" t="s">
        <v>255</v>
      </c>
      <c r="G44" s="1" t="s">
        <v>5</v>
      </c>
      <c r="H44" s="0" t="n">
        <v>16.087895</v>
      </c>
      <c r="I44" s="0" t="s">
        <v>255</v>
      </c>
      <c r="J44" s="1" t="s">
        <v>5</v>
      </c>
      <c r="K44" s="0" t="n">
        <v>7.745956</v>
      </c>
      <c r="L44" s="0" t="s">
        <v>256</v>
      </c>
      <c r="M44" s="1" t="s">
        <v>5</v>
      </c>
      <c r="N44" s="0" t="n">
        <v>15.563642</v>
      </c>
      <c r="O44" s="0" t="s">
        <v>257</v>
      </c>
      <c r="P44" s="1" t="s">
        <v>5</v>
      </c>
      <c r="Q44" s="0" t="n">
        <v>20.934659</v>
      </c>
      <c r="R44" s="0" t="s">
        <v>15</v>
      </c>
      <c r="S44" s="1" t="s">
        <v>6</v>
      </c>
      <c r="T44" s="0" t="s">
        <v>10</v>
      </c>
      <c r="U44" s="0" t="s">
        <v>258</v>
      </c>
      <c r="V44" s="0" t="s">
        <v>254</v>
      </c>
      <c r="W44" s="0" t="n">
        <v>19.587566</v>
      </c>
      <c r="X44" s="0" t="s">
        <v>260</v>
      </c>
      <c r="Y44" s="1" t="s">
        <v>5</v>
      </c>
      <c r="Z44" s="0" t="n">
        <v>76.811676</v>
      </c>
      <c r="AA44" s="0" t="s">
        <v>262</v>
      </c>
      <c r="AB44" s="1" t="s">
        <v>6</v>
      </c>
      <c r="AC44" s="0" t="n">
        <v>6.231113</v>
      </c>
      <c r="AD44" s="0" t="s">
        <v>261</v>
      </c>
      <c r="AE44" s="1" t="s">
        <v>6</v>
      </c>
      <c r="AF44" s="0" t="n">
        <v>18.418062</v>
      </c>
      <c r="AG44" s="0" t="s">
        <v>224</v>
      </c>
      <c r="AH44" s="1" t="s">
        <v>5</v>
      </c>
      <c r="AI44" s="0" t="n">
        <v>19.49591</v>
      </c>
      <c r="AJ44" s="0" t="s">
        <v>15</v>
      </c>
      <c r="AK44" s="1" t="s">
        <v>6</v>
      </c>
      <c r="AL44" s="0" t="s">
        <v>253</v>
      </c>
      <c r="AM44" s="0" t="s">
        <v>258</v>
      </c>
      <c r="AN44" s="0" t="s">
        <v>254</v>
      </c>
      <c r="AO44" s="0" t="n">
        <v>12.063001</v>
      </c>
      <c r="AP44" s="0" t="n">
        <v>2</v>
      </c>
      <c r="AQ44" s="0" t="n">
        <v>0</v>
      </c>
      <c r="AR44" s="0" t="s">
        <v>334</v>
      </c>
      <c r="AS44" s="2" t="str">
        <f aca="false">IF(AND(G44="true",J44="true",M44="true",P44="true",S44="true"),"true","false")</f>
        <v>false</v>
      </c>
      <c r="AT44" s="0" t="str">
        <f aca="false">IF(AND(Y44="true",AB44="true",AE44="true",AH44="true",AK44="true"),"true","false")</f>
        <v>false</v>
      </c>
    </row>
    <row r="45" customFormat="false" ht="12.8" hidden="false" customHeight="false" outlineLevel="0" collapsed="false">
      <c r="A45" s="0" t="s">
        <v>335</v>
      </c>
      <c r="B45" s="0" t="s">
        <v>1</v>
      </c>
      <c r="C45" s="0" t="s">
        <v>253</v>
      </c>
      <c r="D45" s="0" t="s">
        <v>254</v>
      </c>
      <c r="E45" s="0" t="n">
        <v>122.405407</v>
      </c>
      <c r="F45" s="0" t="s">
        <v>255</v>
      </c>
      <c r="G45" s="1" t="s">
        <v>5</v>
      </c>
      <c r="H45" s="0" t="n">
        <v>33.688085</v>
      </c>
      <c r="I45" s="0" t="s">
        <v>255</v>
      </c>
      <c r="J45" s="1" t="s">
        <v>5</v>
      </c>
      <c r="K45" s="0" t="n">
        <v>7.915212</v>
      </c>
      <c r="L45" s="0" t="s">
        <v>256</v>
      </c>
      <c r="M45" s="1" t="s">
        <v>5</v>
      </c>
      <c r="N45" s="0" t="n">
        <v>143.712093</v>
      </c>
      <c r="O45" s="0" t="s">
        <v>257</v>
      </c>
      <c r="P45" s="1" t="s">
        <v>5</v>
      </c>
      <c r="Q45" s="0" t="n">
        <v>5.719834</v>
      </c>
      <c r="R45" s="0" t="s">
        <v>51</v>
      </c>
      <c r="S45" s="1" t="s">
        <v>5</v>
      </c>
      <c r="T45" s="0" t="s">
        <v>10</v>
      </c>
      <c r="U45" s="0" t="s">
        <v>258</v>
      </c>
      <c r="V45" s="0" t="s">
        <v>254</v>
      </c>
      <c r="W45" s="0" t="n">
        <v>22.237051</v>
      </c>
      <c r="X45" s="0" t="s">
        <v>260</v>
      </c>
      <c r="Y45" s="1" t="s">
        <v>5</v>
      </c>
      <c r="Z45" s="0" t="n">
        <v>40.766325</v>
      </c>
      <c r="AA45" s="0" t="s">
        <v>261</v>
      </c>
      <c r="AB45" s="1" t="s">
        <v>5</v>
      </c>
      <c r="AC45" s="0" t="n">
        <v>5.060297</v>
      </c>
      <c r="AD45" s="0" t="s">
        <v>262</v>
      </c>
      <c r="AE45" s="1" t="s">
        <v>5</v>
      </c>
      <c r="AF45" s="0" t="n">
        <v>67.849535</v>
      </c>
      <c r="AG45" s="0" t="s">
        <v>224</v>
      </c>
      <c r="AH45" s="1" t="s">
        <v>5</v>
      </c>
      <c r="AI45" s="0" t="n">
        <v>53.044775</v>
      </c>
      <c r="AJ45" s="0" t="s">
        <v>51</v>
      </c>
      <c r="AK45" s="1" t="s">
        <v>6</v>
      </c>
      <c r="AL45" s="0" t="s">
        <v>253</v>
      </c>
      <c r="AM45" s="0" t="s">
        <v>258</v>
      </c>
      <c r="AN45" s="0" t="s">
        <v>254</v>
      </c>
      <c r="AO45" s="0" t="n">
        <v>9.990877</v>
      </c>
      <c r="AP45" s="0" t="n">
        <v>0</v>
      </c>
      <c r="AQ45" s="0" t="n">
        <v>1</v>
      </c>
      <c r="AS45" s="2" t="str">
        <f aca="false">IF(AND(G45="true",J45="true",M45="true",P45="true",S45="true"),"true","false")</f>
        <v>true</v>
      </c>
      <c r="AT45" s="0" t="str">
        <f aca="false">IF(AND(Y45="true",AB45="true",AE45="true",AH45="true",AK45="true"),"true","false")</f>
        <v>false</v>
      </c>
    </row>
    <row r="46" customFormat="false" ht="12.8" hidden="false" customHeight="false" outlineLevel="0" collapsed="false">
      <c r="A46" s="0" t="s">
        <v>336</v>
      </c>
      <c r="B46" s="0" t="s">
        <v>1</v>
      </c>
      <c r="C46" s="0" t="s">
        <v>253</v>
      </c>
      <c r="D46" s="0" t="s">
        <v>254</v>
      </c>
      <c r="E46" s="0" t="n">
        <v>40.222271</v>
      </c>
      <c r="F46" s="0" t="s">
        <v>255</v>
      </c>
      <c r="G46" s="1" t="s">
        <v>5</v>
      </c>
      <c r="H46" s="0" t="n">
        <v>14.22079</v>
      </c>
      <c r="I46" s="0" t="s">
        <v>255</v>
      </c>
      <c r="J46" s="1" t="s">
        <v>5</v>
      </c>
      <c r="K46" s="0" t="n">
        <v>3.211258</v>
      </c>
      <c r="M46" s="1" t="s">
        <v>6</v>
      </c>
      <c r="N46" s="0" t="n">
        <v>17.533512</v>
      </c>
      <c r="O46" s="0" t="s">
        <v>257</v>
      </c>
      <c r="P46" s="1" t="s">
        <v>5</v>
      </c>
      <c r="Q46" s="0" t="n">
        <v>22.767972</v>
      </c>
      <c r="R46" s="0" t="s">
        <v>51</v>
      </c>
      <c r="S46" s="1" t="s">
        <v>5</v>
      </c>
      <c r="T46" s="0" t="s">
        <v>10</v>
      </c>
      <c r="U46" s="0" t="s">
        <v>258</v>
      </c>
      <c r="V46" s="0" t="s">
        <v>254</v>
      </c>
      <c r="W46" s="0" t="n">
        <v>49.283369</v>
      </c>
      <c r="X46" s="0" t="s">
        <v>260</v>
      </c>
      <c r="Y46" s="1" t="s">
        <v>5</v>
      </c>
      <c r="Z46" s="0" t="n">
        <v>8.160137</v>
      </c>
      <c r="AA46" s="0" t="s">
        <v>261</v>
      </c>
      <c r="AB46" s="1" t="s">
        <v>5</v>
      </c>
      <c r="AC46" s="0" t="n">
        <v>6.415451</v>
      </c>
      <c r="AD46" s="0" t="s">
        <v>262</v>
      </c>
      <c r="AE46" s="1" t="s">
        <v>5</v>
      </c>
      <c r="AF46" s="0" t="n">
        <v>16.910665</v>
      </c>
      <c r="AG46" s="0" t="s">
        <v>65</v>
      </c>
      <c r="AH46" s="1" t="s">
        <v>6</v>
      </c>
      <c r="AI46" s="0" t="n">
        <v>10.409731</v>
      </c>
      <c r="AJ46" s="0" t="s">
        <v>15</v>
      </c>
      <c r="AK46" s="1" t="s">
        <v>6</v>
      </c>
      <c r="AL46" s="0" t="s">
        <v>253</v>
      </c>
      <c r="AM46" s="0" t="s">
        <v>258</v>
      </c>
      <c r="AN46" s="0" t="s">
        <v>254</v>
      </c>
      <c r="AO46" s="0" t="n">
        <v>5.672477</v>
      </c>
      <c r="AP46" s="0" t="n">
        <v>-2</v>
      </c>
      <c r="AQ46" s="0" t="n">
        <v>1</v>
      </c>
      <c r="AS46" s="2" t="str">
        <f aca="false">IF(AND(G46="true",J46="true",M46="true",P46="true",S46="true"),"true","false")</f>
        <v>false</v>
      </c>
      <c r="AT46" s="0" t="str">
        <f aca="false">IF(AND(Y46="true",AB46="true",AE46="true",AH46="true",AK46="true"),"true","false")</f>
        <v>false</v>
      </c>
    </row>
    <row r="47" customFormat="false" ht="12.8" hidden="false" customHeight="false" outlineLevel="0" collapsed="false">
      <c r="A47" s="0" t="s">
        <v>337</v>
      </c>
      <c r="B47" s="0" t="s">
        <v>1</v>
      </c>
      <c r="C47" s="0" t="s">
        <v>253</v>
      </c>
      <c r="D47" s="0" t="s">
        <v>254</v>
      </c>
      <c r="E47" s="0" t="n">
        <v>23.597642</v>
      </c>
      <c r="F47" s="0" t="s">
        <v>338</v>
      </c>
      <c r="G47" s="1" t="s">
        <v>6</v>
      </c>
      <c r="H47" s="0" t="n">
        <v>15.927933</v>
      </c>
      <c r="I47" s="0" t="s">
        <v>255</v>
      </c>
      <c r="J47" s="1" t="s">
        <v>5</v>
      </c>
      <c r="K47" s="0" t="n">
        <v>4.943199</v>
      </c>
      <c r="L47" s="0" t="s">
        <v>256</v>
      </c>
      <c r="M47" s="1" t="s">
        <v>5</v>
      </c>
      <c r="N47" s="0" t="n">
        <v>22.385439</v>
      </c>
      <c r="O47" s="0" t="s">
        <v>257</v>
      </c>
      <c r="P47" s="1" t="s">
        <v>5</v>
      </c>
      <c r="Q47" s="0" t="n">
        <v>7.886234</v>
      </c>
      <c r="R47" s="0" t="s">
        <v>9</v>
      </c>
      <c r="S47" s="1" t="s">
        <v>6</v>
      </c>
      <c r="T47" s="0" t="s">
        <v>10</v>
      </c>
      <c r="U47" s="0" t="s">
        <v>258</v>
      </c>
      <c r="V47" s="0" t="s">
        <v>254</v>
      </c>
      <c r="W47" s="0" t="n">
        <v>3.116153</v>
      </c>
      <c r="Y47" s="1" t="s">
        <v>6</v>
      </c>
      <c r="Z47" s="0" t="n">
        <v>0.60271</v>
      </c>
      <c r="AB47" s="1" t="s">
        <v>6</v>
      </c>
      <c r="AC47" s="0" t="n">
        <v>1.664567</v>
      </c>
      <c r="AE47" s="1" t="s">
        <v>6</v>
      </c>
      <c r="AF47" s="0" t="n">
        <v>3.279565</v>
      </c>
      <c r="AH47" s="1" t="s">
        <v>6</v>
      </c>
      <c r="AI47" s="0" t="n">
        <v>0.972243</v>
      </c>
      <c r="AK47" s="1" t="s">
        <v>6</v>
      </c>
      <c r="AL47" s="0" t="s">
        <v>253</v>
      </c>
      <c r="AM47" s="0" t="s">
        <v>258</v>
      </c>
      <c r="AN47" s="0" t="s">
        <v>254</v>
      </c>
      <c r="AO47" s="0" t="n">
        <v>11.252028</v>
      </c>
      <c r="AP47" s="0" t="n">
        <v>2</v>
      </c>
      <c r="AQ47" s="0" t="n">
        <v>-2</v>
      </c>
      <c r="AS47" s="2" t="str">
        <f aca="false">IF(AND(G47="true",J47="true",M47="true",P47="true",S47="true"),"true","false")</f>
        <v>false</v>
      </c>
      <c r="AT47" s="0" t="str">
        <f aca="false">IF(AND(Y47="true",AB47="true",AE47="true",AH47="true",AK47="true"),"true","false")</f>
        <v>false</v>
      </c>
    </row>
    <row r="48" customFormat="false" ht="12.8" hidden="false" customHeight="false" outlineLevel="0" collapsed="false">
      <c r="A48" s="0" t="s">
        <v>339</v>
      </c>
      <c r="B48" s="0" t="s">
        <v>1</v>
      </c>
      <c r="C48" s="0" t="s">
        <v>253</v>
      </c>
      <c r="D48" s="0" t="s">
        <v>254</v>
      </c>
      <c r="E48" s="0" t="n">
        <v>121.097506</v>
      </c>
      <c r="F48" s="0" t="s">
        <v>255</v>
      </c>
      <c r="G48" s="1" t="s">
        <v>5</v>
      </c>
      <c r="H48" s="0" t="n">
        <v>14.650526</v>
      </c>
      <c r="I48" s="0" t="s">
        <v>255</v>
      </c>
      <c r="J48" s="1" t="s">
        <v>5</v>
      </c>
      <c r="K48" s="0" t="n">
        <v>12.320935</v>
      </c>
      <c r="L48" s="0" t="s">
        <v>256</v>
      </c>
      <c r="M48" s="1" t="s">
        <v>5</v>
      </c>
      <c r="N48" s="0" t="n">
        <v>50.215631</v>
      </c>
      <c r="P48" s="1" t="s">
        <v>6</v>
      </c>
      <c r="Q48" s="0" t="n">
        <v>3.647467</v>
      </c>
      <c r="R48" s="0" t="s">
        <v>51</v>
      </c>
      <c r="S48" s="1" t="s">
        <v>5</v>
      </c>
      <c r="T48" s="0" t="s">
        <v>10</v>
      </c>
      <c r="U48" s="0" t="s">
        <v>258</v>
      </c>
      <c r="V48" s="0" t="s">
        <v>254</v>
      </c>
      <c r="W48" s="0" t="n">
        <v>51.707082</v>
      </c>
      <c r="Y48" s="1" t="s">
        <v>6</v>
      </c>
      <c r="Z48" s="0" t="n">
        <v>2.478567</v>
      </c>
      <c r="AB48" s="1" t="s">
        <v>6</v>
      </c>
      <c r="AC48" s="0" t="n">
        <v>1.112127</v>
      </c>
      <c r="AE48" s="1" t="s">
        <v>6</v>
      </c>
      <c r="AF48" s="0" t="n">
        <v>1.178051</v>
      </c>
      <c r="AH48" s="1" t="s">
        <v>6</v>
      </c>
      <c r="AI48" s="0" t="n">
        <v>1.094746</v>
      </c>
      <c r="AK48" s="1" t="s">
        <v>6</v>
      </c>
      <c r="AL48" s="0" t="s">
        <v>253</v>
      </c>
      <c r="AM48" s="0" t="s">
        <v>258</v>
      </c>
      <c r="AN48" s="0" t="s">
        <v>254</v>
      </c>
      <c r="AO48" s="0" t="n">
        <v>46.65965</v>
      </c>
      <c r="AS48" s="2" t="str">
        <f aca="false">IF(AND(G48="true",J48="true",M48="true",P48="true",S48="true"),"true","false")</f>
        <v>false</v>
      </c>
      <c r="AT48" s="0" t="str">
        <f aca="false">IF(AND(Y48="true",AB48="true",AE48="true",AH48="true",AK48="true"),"true","false")</f>
        <v>false</v>
      </c>
    </row>
    <row r="49" customFormat="false" ht="12.8" hidden="false" customHeight="false" outlineLevel="0" collapsed="false">
      <c r="A49" s="0" t="s">
        <v>340</v>
      </c>
      <c r="B49" s="0" t="s">
        <v>1</v>
      </c>
      <c r="C49" s="0" t="s">
        <v>253</v>
      </c>
      <c r="D49" s="0" t="s">
        <v>254</v>
      </c>
      <c r="E49" s="0" t="n">
        <v>17.902629</v>
      </c>
      <c r="F49" s="0" t="s">
        <v>255</v>
      </c>
      <c r="G49" s="1" t="s">
        <v>5</v>
      </c>
      <c r="H49" s="0" t="n">
        <v>19.043578</v>
      </c>
      <c r="I49" s="0" t="s">
        <v>255</v>
      </c>
      <c r="J49" s="1" t="s">
        <v>5</v>
      </c>
      <c r="K49" s="0" t="n">
        <v>6.784043</v>
      </c>
      <c r="L49" s="0" t="s">
        <v>256</v>
      </c>
      <c r="M49" s="1" t="s">
        <v>5</v>
      </c>
      <c r="N49" s="0" t="n">
        <v>15.844376</v>
      </c>
      <c r="O49" s="0" t="s">
        <v>257</v>
      </c>
      <c r="P49" s="1" t="s">
        <v>5</v>
      </c>
      <c r="Q49" s="0" t="n">
        <v>12.169384</v>
      </c>
      <c r="R49" s="0" t="s">
        <v>15</v>
      </c>
      <c r="S49" s="1" t="s">
        <v>6</v>
      </c>
      <c r="T49" s="0" t="s">
        <v>10</v>
      </c>
      <c r="U49" s="0" t="s">
        <v>258</v>
      </c>
      <c r="V49" s="0" t="s">
        <v>254</v>
      </c>
      <c r="W49" s="0" t="n">
        <v>14.565012</v>
      </c>
      <c r="X49" s="0" t="s">
        <v>260</v>
      </c>
      <c r="Y49" s="1" t="s">
        <v>5</v>
      </c>
      <c r="Z49" s="0" t="n">
        <v>12.734159</v>
      </c>
      <c r="AA49" s="0" t="s">
        <v>261</v>
      </c>
      <c r="AB49" s="1" t="s">
        <v>5</v>
      </c>
      <c r="AC49" s="0" t="n">
        <v>3.890755</v>
      </c>
      <c r="AD49" s="0" t="s">
        <v>262</v>
      </c>
      <c r="AE49" s="1" t="s">
        <v>5</v>
      </c>
      <c r="AF49" s="0" t="n">
        <v>29.076123</v>
      </c>
      <c r="AG49" s="0" t="s">
        <v>341</v>
      </c>
      <c r="AH49" s="1" t="s">
        <v>6</v>
      </c>
      <c r="AI49" s="0" t="n">
        <v>12.156955</v>
      </c>
      <c r="AJ49" s="0" t="s">
        <v>9</v>
      </c>
      <c r="AK49" s="1" t="s">
        <v>5</v>
      </c>
      <c r="AL49" s="0" t="s">
        <v>253</v>
      </c>
      <c r="AM49" s="0" t="s">
        <v>258</v>
      </c>
      <c r="AN49" s="0" t="s">
        <v>254</v>
      </c>
      <c r="AO49" s="0" t="n">
        <v>12.359931</v>
      </c>
      <c r="AP49" s="0" t="n">
        <v>1</v>
      </c>
      <c r="AQ49" s="0" t="n">
        <v>1</v>
      </c>
      <c r="AS49" s="2" t="str">
        <f aca="false">IF(AND(G49="true",J49="true",M49="true",P49="true",S49="true"),"true","false")</f>
        <v>false</v>
      </c>
      <c r="AT49" s="0" t="str">
        <f aca="false">IF(AND(Y49="true",AB49="true",AE49="true",AH49="true",AK49="true"),"true","false")</f>
        <v>false</v>
      </c>
    </row>
    <row r="50" customFormat="false" ht="12.8" hidden="false" customHeight="false" outlineLevel="0" collapsed="false">
      <c r="A50" s="0" t="s">
        <v>342</v>
      </c>
      <c r="B50" s="0" t="s">
        <v>1</v>
      </c>
      <c r="C50" s="0" t="s">
        <v>258</v>
      </c>
      <c r="D50" s="0" t="s">
        <v>254</v>
      </c>
      <c r="E50" s="0" t="n">
        <v>32.157761</v>
      </c>
      <c r="F50" s="0" t="s">
        <v>260</v>
      </c>
      <c r="G50" s="1" t="s">
        <v>5</v>
      </c>
      <c r="H50" s="0" t="n">
        <v>18.635726</v>
      </c>
      <c r="I50" s="0" t="s">
        <v>261</v>
      </c>
      <c r="J50" s="1" t="s">
        <v>5</v>
      </c>
      <c r="K50" s="0" t="n">
        <v>4.970666</v>
      </c>
      <c r="L50" s="0" t="s">
        <v>262</v>
      </c>
      <c r="M50" s="1" t="s">
        <v>5</v>
      </c>
      <c r="N50" s="0" t="n">
        <v>11.041145</v>
      </c>
      <c r="O50" s="0" t="s">
        <v>224</v>
      </c>
      <c r="P50" s="1" t="s">
        <v>5</v>
      </c>
      <c r="Q50" s="0" t="n">
        <v>17.370699</v>
      </c>
      <c r="R50" s="0" t="s">
        <v>9</v>
      </c>
      <c r="S50" s="1" t="s">
        <v>6</v>
      </c>
      <c r="T50" s="0" t="s">
        <v>10</v>
      </c>
      <c r="U50" s="0" t="s">
        <v>253</v>
      </c>
      <c r="V50" s="0" t="s">
        <v>254</v>
      </c>
      <c r="W50" s="0" t="n">
        <v>18.384604</v>
      </c>
      <c r="X50" s="0" t="s">
        <v>255</v>
      </c>
      <c r="Y50" s="1" t="s">
        <v>5</v>
      </c>
      <c r="Z50" s="0" t="n">
        <v>21.38642</v>
      </c>
      <c r="AA50" s="0" t="s">
        <v>255</v>
      </c>
      <c r="AB50" s="1" t="s">
        <v>5</v>
      </c>
      <c r="AC50" s="0" t="n">
        <v>6.905843</v>
      </c>
      <c r="AD50" s="0" t="s">
        <v>256</v>
      </c>
      <c r="AE50" s="1" t="s">
        <v>5</v>
      </c>
      <c r="AF50" s="0" t="n">
        <v>24.535284</v>
      </c>
      <c r="AG50" s="0" t="s">
        <v>257</v>
      </c>
      <c r="AH50" s="1" t="s">
        <v>5</v>
      </c>
      <c r="AI50" s="0" t="n">
        <v>9.128223</v>
      </c>
      <c r="AJ50" s="0" t="s">
        <v>15</v>
      </c>
      <c r="AK50" s="1" t="s">
        <v>6</v>
      </c>
      <c r="AL50" s="0" t="s">
        <v>258</v>
      </c>
      <c r="AM50" s="0" t="s">
        <v>253</v>
      </c>
      <c r="AN50" s="0" t="s">
        <v>254</v>
      </c>
      <c r="AO50" s="0" t="n">
        <v>14.857819</v>
      </c>
      <c r="AP50" s="0" t="n">
        <v>1</v>
      </c>
      <c r="AQ50" s="0" t="n">
        <v>0</v>
      </c>
      <c r="AS50" s="2" t="str">
        <f aca="false">IF(AND(G50="true",J50="true",M50="true",P50="true",S50="true"),"true","false")</f>
        <v>false</v>
      </c>
      <c r="AT50" s="0" t="str">
        <f aca="false">IF(AND(Y50="true",AB50="true",AE50="true",AH50="true",AK50="true"),"true","false")</f>
        <v>false</v>
      </c>
    </row>
    <row r="51" customFormat="false" ht="12.8" hidden="false" customHeight="false" outlineLevel="0" collapsed="false">
      <c r="A51" s="0" t="s">
        <v>343</v>
      </c>
      <c r="B51" s="0" t="s">
        <v>1</v>
      </c>
      <c r="C51" s="0" t="s">
        <v>253</v>
      </c>
      <c r="D51" s="0" t="s">
        <v>254</v>
      </c>
      <c r="E51" s="0" t="n">
        <v>88.630143</v>
      </c>
      <c r="F51" s="0" t="s">
        <v>344</v>
      </c>
      <c r="G51" s="1" t="s">
        <v>6</v>
      </c>
      <c r="H51" s="0" t="n">
        <v>25.903682</v>
      </c>
      <c r="I51" s="0" t="s">
        <v>344</v>
      </c>
      <c r="J51" s="1" t="s">
        <v>6</v>
      </c>
      <c r="K51" s="0" t="n">
        <v>5.130944</v>
      </c>
      <c r="L51" s="0" t="s">
        <v>256</v>
      </c>
      <c r="M51" s="1" t="s">
        <v>5</v>
      </c>
      <c r="N51" s="0" t="n">
        <v>17.461712</v>
      </c>
      <c r="O51" s="0" t="s">
        <v>257</v>
      </c>
      <c r="P51" s="1" t="s">
        <v>5</v>
      </c>
      <c r="Q51" s="0" t="n">
        <v>7.271901</v>
      </c>
      <c r="R51" s="0" t="s">
        <v>9</v>
      </c>
      <c r="S51" s="1" t="s">
        <v>6</v>
      </c>
      <c r="T51" s="0" t="s">
        <v>10</v>
      </c>
      <c r="U51" s="0" t="s">
        <v>258</v>
      </c>
      <c r="V51" s="0" t="s">
        <v>254</v>
      </c>
      <c r="W51" s="0" t="n">
        <v>85.99702</v>
      </c>
      <c r="X51" s="0" t="s">
        <v>331</v>
      </c>
      <c r="Y51" s="1" t="s">
        <v>6</v>
      </c>
      <c r="Z51" s="0" t="n">
        <v>18.633494</v>
      </c>
      <c r="AA51" s="0" t="s">
        <v>331</v>
      </c>
      <c r="AB51" s="1" t="s">
        <v>6</v>
      </c>
      <c r="AC51" s="0" t="n">
        <v>8.868745</v>
      </c>
      <c r="AD51" s="0" t="s">
        <v>345</v>
      </c>
      <c r="AE51" s="1" t="s">
        <v>6</v>
      </c>
      <c r="AF51" s="0" t="n">
        <v>24.858011</v>
      </c>
      <c r="AG51" s="0" t="s">
        <v>341</v>
      </c>
      <c r="AH51" s="1" t="s">
        <v>6</v>
      </c>
      <c r="AI51" s="0" t="n">
        <v>4.640762</v>
      </c>
      <c r="AJ51" s="0" t="s">
        <v>15</v>
      </c>
      <c r="AK51" s="1" t="s">
        <v>6</v>
      </c>
      <c r="AL51" s="0" t="s">
        <v>253</v>
      </c>
      <c r="AM51" s="0" t="s">
        <v>258</v>
      </c>
      <c r="AN51" s="0" t="s">
        <v>254</v>
      </c>
      <c r="AO51" s="0" t="n">
        <v>10.286323</v>
      </c>
      <c r="AS51" s="2" t="str">
        <f aca="false">IF(AND(G51="true",J51="true",M51="true",P51="true",S51="true"),"true","false")</f>
        <v>false</v>
      </c>
      <c r="AT51" s="0" t="str">
        <f aca="false">IF(AND(Y51="true",AB51="true",AE51="true",AH51="true",AK51="true"),"true","false")</f>
        <v>false</v>
      </c>
    </row>
    <row r="52" customFormat="false" ht="12.8" hidden="false" customHeight="false" outlineLevel="0" collapsed="false">
      <c r="A52" s="0" t="s">
        <v>346</v>
      </c>
      <c r="B52" s="0" t="s">
        <v>1</v>
      </c>
      <c r="C52" s="0" t="s">
        <v>253</v>
      </c>
      <c r="D52" s="0" t="s">
        <v>254</v>
      </c>
      <c r="E52" s="0" t="n">
        <v>23.266198</v>
      </c>
      <c r="F52" s="0" t="s">
        <v>255</v>
      </c>
      <c r="G52" s="1" t="s">
        <v>5</v>
      </c>
      <c r="H52" s="0" t="n">
        <v>17.534097</v>
      </c>
      <c r="I52" s="0" t="s">
        <v>255</v>
      </c>
      <c r="J52" s="1" t="s">
        <v>5</v>
      </c>
      <c r="K52" s="0" t="n">
        <v>6.900459</v>
      </c>
      <c r="L52" s="0" t="s">
        <v>256</v>
      </c>
      <c r="M52" s="1" t="s">
        <v>5</v>
      </c>
      <c r="N52" s="0" t="n">
        <v>32.918894</v>
      </c>
      <c r="O52" s="0" t="s">
        <v>257</v>
      </c>
      <c r="P52" s="1" t="s">
        <v>5</v>
      </c>
      <c r="Q52" s="0" t="n">
        <v>20.080627</v>
      </c>
      <c r="R52" s="0" t="s">
        <v>51</v>
      </c>
      <c r="S52" s="1" t="s">
        <v>5</v>
      </c>
      <c r="T52" s="0" t="s">
        <v>10</v>
      </c>
      <c r="U52" s="0" t="s">
        <v>258</v>
      </c>
      <c r="V52" s="0" t="s">
        <v>254</v>
      </c>
      <c r="W52" s="0" t="n">
        <v>36.249366</v>
      </c>
      <c r="X52" s="0" t="s">
        <v>260</v>
      </c>
      <c r="Y52" s="1" t="s">
        <v>5</v>
      </c>
      <c r="Z52" s="0" t="n">
        <v>15.322286</v>
      </c>
      <c r="AA52" s="0" t="s">
        <v>261</v>
      </c>
      <c r="AB52" s="1" t="s">
        <v>5</v>
      </c>
      <c r="AC52" s="0" t="n">
        <v>4.471191</v>
      </c>
      <c r="AD52" s="0" t="s">
        <v>262</v>
      </c>
      <c r="AE52" s="1" t="s">
        <v>5</v>
      </c>
      <c r="AF52" s="0" t="n">
        <v>35.762079</v>
      </c>
      <c r="AG52" s="0" t="s">
        <v>224</v>
      </c>
      <c r="AH52" s="1" t="s">
        <v>5</v>
      </c>
      <c r="AI52" s="0" t="n">
        <v>16.380787</v>
      </c>
      <c r="AJ52" s="0" t="s">
        <v>9</v>
      </c>
      <c r="AK52" s="1" t="s">
        <v>5</v>
      </c>
      <c r="AL52" s="0" t="s">
        <v>253</v>
      </c>
      <c r="AM52" s="0" t="s">
        <v>258</v>
      </c>
      <c r="AN52" s="0" t="s">
        <v>254</v>
      </c>
      <c r="AO52" s="0" t="n">
        <v>6.974947</v>
      </c>
      <c r="AP52" s="0" t="n">
        <v>1</v>
      </c>
      <c r="AQ52" s="0" t="n">
        <v>2</v>
      </c>
      <c r="AS52" s="2" t="str">
        <f aca="false">IF(AND(G52="true",J52="true",M52="true",P52="true",S52="true"),"true","false")</f>
        <v>true</v>
      </c>
      <c r="AT52" s="0" t="str">
        <f aca="false">IF(AND(Y52="true",AB52="true",AE52="true",AH52="true",AK52="true"),"true","false")</f>
        <v>true</v>
      </c>
    </row>
    <row r="53" customFormat="false" ht="12.8" hidden="false" customHeight="false" outlineLevel="0" collapsed="false">
      <c r="A53" s="0" t="s">
        <v>347</v>
      </c>
      <c r="B53" s="0" t="s">
        <v>1</v>
      </c>
      <c r="C53" s="0" t="s">
        <v>253</v>
      </c>
      <c r="D53" s="0" t="s">
        <v>254</v>
      </c>
      <c r="E53" s="0" t="n">
        <v>32.655548</v>
      </c>
      <c r="F53" s="0" t="s">
        <v>255</v>
      </c>
      <c r="G53" s="1" t="s">
        <v>5</v>
      </c>
      <c r="H53" s="0" t="n">
        <v>34.833302</v>
      </c>
      <c r="I53" s="0" t="s">
        <v>255</v>
      </c>
      <c r="J53" s="1" t="s">
        <v>5</v>
      </c>
      <c r="K53" s="0" t="n">
        <v>7.445221</v>
      </c>
      <c r="L53" s="0" t="s">
        <v>256</v>
      </c>
      <c r="M53" s="1" t="s">
        <v>5</v>
      </c>
      <c r="N53" s="0" t="n">
        <v>32.81756</v>
      </c>
      <c r="O53" s="0" t="s">
        <v>257</v>
      </c>
      <c r="P53" s="1" t="s">
        <v>5</v>
      </c>
      <c r="Q53" s="0" t="n">
        <v>32.456958</v>
      </c>
      <c r="R53" s="0" t="s">
        <v>15</v>
      </c>
      <c r="S53" s="1" t="s">
        <v>6</v>
      </c>
      <c r="T53" s="0" t="s">
        <v>10</v>
      </c>
      <c r="U53" s="0" t="s">
        <v>258</v>
      </c>
      <c r="V53" s="0" t="s">
        <v>254</v>
      </c>
      <c r="W53" s="0" t="n">
        <v>28.54241</v>
      </c>
      <c r="X53" s="0" t="s">
        <v>260</v>
      </c>
      <c r="Y53" s="1" t="s">
        <v>5</v>
      </c>
      <c r="Z53" s="0" t="n">
        <v>21.693415</v>
      </c>
      <c r="AA53" s="0" t="s">
        <v>261</v>
      </c>
      <c r="AB53" s="1" t="s">
        <v>5</v>
      </c>
      <c r="AC53" s="0" t="n">
        <v>14.556063</v>
      </c>
      <c r="AD53" s="0" t="s">
        <v>262</v>
      </c>
      <c r="AE53" s="1" t="s">
        <v>5</v>
      </c>
      <c r="AF53" s="0" t="n">
        <v>30.037126</v>
      </c>
      <c r="AG53" s="0" t="s">
        <v>224</v>
      </c>
      <c r="AH53" s="1" t="s">
        <v>5</v>
      </c>
      <c r="AI53" s="0" t="n">
        <v>27.417793</v>
      </c>
      <c r="AJ53" s="0" t="s">
        <v>9</v>
      </c>
      <c r="AK53" s="1" t="s">
        <v>5</v>
      </c>
      <c r="AL53" s="0" t="s">
        <v>253</v>
      </c>
      <c r="AM53" s="0" t="s">
        <v>258</v>
      </c>
      <c r="AN53" s="0" t="s">
        <v>254</v>
      </c>
      <c r="AO53" s="0" t="n">
        <v>51.521405</v>
      </c>
      <c r="AP53" s="0" t="n">
        <v>1</v>
      </c>
      <c r="AQ53" s="0" t="n">
        <v>2</v>
      </c>
      <c r="AR53" s="0" t="s">
        <v>348</v>
      </c>
      <c r="AS53" s="2" t="str">
        <f aca="false">IF(AND(G53="true",J53="true",M53="true",P53="true",S53="true"),"true","false")</f>
        <v>false</v>
      </c>
      <c r="AT53" s="0" t="str">
        <f aca="false">IF(AND(Y53="true",AB53="true",AE53="true",AH53="true",AK53="true"),"true","false")</f>
        <v>true</v>
      </c>
    </row>
    <row r="54" customFormat="false" ht="12.8" hidden="false" customHeight="false" outlineLevel="0" collapsed="false">
      <c r="A54" s="0" t="s">
        <v>349</v>
      </c>
      <c r="B54" s="0" t="s">
        <v>1</v>
      </c>
      <c r="C54" s="0" t="s">
        <v>253</v>
      </c>
      <c r="D54" s="0" t="s">
        <v>254</v>
      </c>
      <c r="E54" s="0" t="n">
        <v>19.239936</v>
      </c>
      <c r="F54" s="0" t="s">
        <v>255</v>
      </c>
      <c r="G54" s="1" t="s">
        <v>5</v>
      </c>
      <c r="H54" s="0" t="n">
        <v>16.832068</v>
      </c>
      <c r="I54" s="0" t="s">
        <v>255</v>
      </c>
      <c r="J54" s="1" t="s">
        <v>5</v>
      </c>
      <c r="K54" s="0" t="n">
        <v>8.512968</v>
      </c>
      <c r="L54" s="0" t="s">
        <v>256</v>
      </c>
      <c r="M54" s="1" t="s">
        <v>5</v>
      </c>
      <c r="N54" s="0" t="n">
        <v>21.415357</v>
      </c>
      <c r="O54" s="0" t="s">
        <v>257</v>
      </c>
      <c r="P54" s="1" t="s">
        <v>5</v>
      </c>
      <c r="Q54" s="0" t="n">
        <v>20.059603</v>
      </c>
      <c r="R54" s="0" t="s">
        <v>15</v>
      </c>
      <c r="S54" s="1" t="s">
        <v>6</v>
      </c>
      <c r="T54" s="0" t="s">
        <v>10</v>
      </c>
      <c r="U54" s="0" t="s">
        <v>258</v>
      </c>
      <c r="V54" s="0" t="s">
        <v>254</v>
      </c>
      <c r="W54" s="0" t="n">
        <v>23.2236</v>
      </c>
      <c r="X54" s="0" t="s">
        <v>260</v>
      </c>
      <c r="Y54" s="1" t="s">
        <v>5</v>
      </c>
      <c r="Z54" s="0" t="n">
        <v>12.031025</v>
      </c>
      <c r="AA54" s="0" t="s">
        <v>261</v>
      </c>
      <c r="AB54" s="1" t="s">
        <v>5</v>
      </c>
      <c r="AC54" s="0" t="n">
        <v>11.182983</v>
      </c>
      <c r="AD54" s="0" t="s">
        <v>262</v>
      </c>
      <c r="AE54" s="1" t="s">
        <v>5</v>
      </c>
      <c r="AF54" s="0" t="n">
        <v>19.404981</v>
      </c>
      <c r="AG54" s="0" t="s">
        <v>224</v>
      </c>
      <c r="AH54" s="1" t="s">
        <v>5</v>
      </c>
      <c r="AI54" s="0" t="n">
        <v>14.187285</v>
      </c>
      <c r="AJ54" s="0" t="s">
        <v>9</v>
      </c>
      <c r="AK54" s="1" t="s">
        <v>5</v>
      </c>
      <c r="AL54" s="0" t="s">
        <v>253</v>
      </c>
      <c r="AM54" s="0" t="s">
        <v>258</v>
      </c>
      <c r="AN54" s="0" t="s">
        <v>254</v>
      </c>
      <c r="AO54" s="0" t="n">
        <v>8.703799</v>
      </c>
      <c r="AP54" s="0" t="n">
        <v>1</v>
      </c>
      <c r="AQ54" s="0" t="n">
        <v>1</v>
      </c>
      <c r="AS54" s="2" t="str">
        <f aca="false">IF(AND(G54="true",J54="true",M54="true",P54="true",S54="true"),"true","false")</f>
        <v>false</v>
      </c>
      <c r="AT54" s="0" t="str">
        <f aca="false">IF(AND(Y54="true",AB54="true",AE54="true",AH54="true",AK54="true"),"true","false")</f>
        <v>true</v>
      </c>
    </row>
    <row r="55" customFormat="false" ht="12.8" hidden="false" customHeight="false" outlineLevel="0" collapsed="false">
      <c r="A55" s="0" t="s">
        <v>350</v>
      </c>
      <c r="B55" s="0" t="s">
        <v>1</v>
      </c>
      <c r="C55" s="0" t="s">
        <v>258</v>
      </c>
      <c r="D55" s="0" t="s">
        <v>254</v>
      </c>
      <c r="E55" s="0" t="n">
        <v>28.835891</v>
      </c>
      <c r="F55" s="0" t="s">
        <v>260</v>
      </c>
      <c r="G55" s="1" t="s">
        <v>5</v>
      </c>
      <c r="H55" s="0" t="n">
        <v>16.791693</v>
      </c>
      <c r="I55" s="0" t="s">
        <v>261</v>
      </c>
      <c r="J55" s="1" t="s">
        <v>5</v>
      </c>
      <c r="K55" s="0" t="n">
        <v>6.158967</v>
      </c>
      <c r="L55" s="0" t="s">
        <v>262</v>
      </c>
      <c r="M55" s="1" t="s">
        <v>5</v>
      </c>
      <c r="N55" s="0" t="n">
        <v>31.008782</v>
      </c>
      <c r="O55" s="0" t="s">
        <v>224</v>
      </c>
      <c r="P55" s="1" t="s">
        <v>5</v>
      </c>
      <c r="Q55" s="0" t="n">
        <v>12.340966</v>
      </c>
      <c r="R55" s="0" t="s">
        <v>9</v>
      </c>
      <c r="S55" s="1" t="s">
        <v>6</v>
      </c>
      <c r="T55" s="0" t="s">
        <v>10</v>
      </c>
      <c r="U55" s="0" t="s">
        <v>253</v>
      </c>
      <c r="V55" s="0" t="s">
        <v>254</v>
      </c>
      <c r="W55" s="0" t="n">
        <v>26.873974</v>
      </c>
      <c r="X55" s="0" t="s">
        <v>255</v>
      </c>
      <c r="Y55" s="1" t="s">
        <v>5</v>
      </c>
      <c r="Z55" s="0" t="n">
        <v>43.460956</v>
      </c>
      <c r="AA55" s="0" t="s">
        <v>255</v>
      </c>
      <c r="AB55" s="1" t="s">
        <v>5</v>
      </c>
      <c r="AC55" s="0" t="n">
        <v>11.131217</v>
      </c>
      <c r="AD55" s="0" t="s">
        <v>256</v>
      </c>
      <c r="AE55" s="1" t="s">
        <v>5</v>
      </c>
      <c r="AF55" s="0" t="n">
        <v>39.050703</v>
      </c>
      <c r="AG55" s="0" t="s">
        <v>257</v>
      </c>
      <c r="AH55" s="1" t="s">
        <v>5</v>
      </c>
      <c r="AI55" s="0" t="n">
        <v>15.773171</v>
      </c>
      <c r="AJ55" s="0" t="s">
        <v>9</v>
      </c>
      <c r="AK55" s="1" t="s">
        <v>5</v>
      </c>
      <c r="AL55" s="0" t="s">
        <v>258</v>
      </c>
      <c r="AM55" s="0" t="s">
        <v>253</v>
      </c>
      <c r="AN55" s="0" t="s">
        <v>254</v>
      </c>
      <c r="AO55" s="0" t="n">
        <v>56.421914</v>
      </c>
      <c r="AP55" s="0" t="n">
        <v>-1</v>
      </c>
      <c r="AQ55" s="0" t="n">
        <v>-1</v>
      </c>
      <c r="AS55" s="2" t="str">
        <f aca="false">IF(AND(G55="true",J55="true",M55="true",P55="true",S55="true"),"true","false")</f>
        <v>false</v>
      </c>
      <c r="AT55" s="0" t="str">
        <f aca="false">IF(AND(Y55="true",AB55="true",AE55="true",AH55="true",AK55="true"),"true","false")</f>
        <v>true</v>
      </c>
    </row>
    <row r="56" customFormat="false" ht="12.8" hidden="false" customHeight="false" outlineLevel="0" collapsed="false">
      <c r="A56" s="0" t="s">
        <v>351</v>
      </c>
      <c r="B56" s="0" t="s">
        <v>1</v>
      </c>
      <c r="C56" s="0" t="s">
        <v>253</v>
      </c>
      <c r="D56" s="0" t="s">
        <v>254</v>
      </c>
      <c r="E56" s="0" t="n">
        <v>47.317324</v>
      </c>
      <c r="F56" s="0" t="s">
        <v>255</v>
      </c>
      <c r="G56" s="1" t="s">
        <v>5</v>
      </c>
      <c r="H56" s="0" t="n">
        <v>24.883021</v>
      </c>
      <c r="I56" s="0" t="s">
        <v>255</v>
      </c>
      <c r="J56" s="1" t="s">
        <v>5</v>
      </c>
      <c r="K56" s="0" t="n">
        <v>5.940085</v>
      </c>
      <c r="L56" s="0" t="s">
        <v>256</v>
      </c>
      <c r="M56" s="1" t="s">
        <v>5</v>
      </c>
      <c r="N56" s="0" t="n">
        <v>30.494675</v>
      </c>
      <c r="O56" s="0" t="s">
        <v>276</v>
      </c>
      <c r="P56" s="1" t="s">
        <v>6</v>
      </c>
      <c r="Q56" s="0" t="n">
        <v>16.116128</v>
      </c>
      <c r="R56" s="0" t="s">
        <v>15</v>
      </c>
      <c r="S56" s="1" t="s">
        <v>6</v>
      </c>
      <c r="T56" s="0" t="s">
        <v>10</v>
      </c>
      <c r="U56" s="0" t="s">
        <v>258</v>
      </c>
      <c r="V56" s="0" t="s">
        <v>254</v>
      </c>
      <c r="W56" s="0" t="n">
        <v>56.697252</v>
      </c>
      <c r="X56" s="0" t="s">
        <v>260</v>
      </c>
      <c r="Y56" s="1" t="s">
        <v>5</v>
      </c>
      <c r="Z56" s="0" t="n">
        <v>16.530288</v>
      </c>
      <c r="AA56" s="0" t="s">
        <v>261</v>
      </c>
      <c r="AB56" s="1" t="s">
        <v>5</v>
      </c>
      <c r="AC56" s="0" t="n">
        <v>8.190433</v>
      </c>
      <c r="AD56" s="0" t="s">
        <v>262</v>
      </c>
      <c r="AE56" s="1" t="s">
        <v>5</v>
      </c>
      <c r="AF56" s="0" t="n">
        <v>22.121442</v>
      </c>
      <c r="AG56" s="0" t="s">
        <v>224</v>
      </c>
      <c r="AH56" s="1" t="s">
        <v>5</v>
      </c>
      <c r="AI56" s="0" t="n">
        <v>16.453276</v>
      </c>
      <c r="AJ56" s="0" t="s">
        <v>9</v>
      </c>
      <c r="AK56" s="1" t="s">
        <v>5</v>
      </c>
      <c r="AL56" s="0" t="s">
        <v>253</v>
      </c>
      <c r="AM56" s="0" t="s">
        <v>258</v>
      </c>
      <c r="AN56" s="0" t="s">
        <v>254</v>
      </c>
      <c r="AO56" s="0" t="n">
        <v>13.370865</v>
      </c>
      <c r="AP56" s="0" t="n">
        <v>-1</v>
      </c>
      <c r="AQ56" s="0" t="n">
        <v>1</v>
      </c>
      <c r="AS56" s="2" t="str">
        <f aca="false">IF(AND(G56="true",J56="true",M56="true",P56="true",S56="true"),"true","false")</f>
        <v>false</v>
      </c>
      <c r="AT56" s="0" t="str">
        <f aca="false">IF(AND(Y56="true",AB56="true",AE56="true",AH56="true",AK56="true"),"true","false")</f>
        <v>true</v>
      </c>
    </row>
    <row r="57" customFormat="false" ht="12.8" hidden="false" customHeight="false" outlineLevel="0" collapsed="false">
      <c r="A57" s="0" t="s">
        <v>352</v>
      </c>
      <c r="B57" s="0" t="s">
        <v>1</v>
      </c>
      <c r="C57" s="0" t="s">
        <v>258</v>
      </c>
      <c r="D57" s="0" t="s">
        <v>254</v>
      </c>
      <c r="E57" s="0" t="n">
        <v>17.972793</v>
      </c>
      <c r="F57" s="0" t="s">
        <v>260</v>
      </c>
      <c r="G57" s="1" t="s">
        <v>5</v>
      </c>
      <c r="H57" s="0" t="n">
        <v>10.827981</v>
      </c>
      <c r="I57" s="0" t="s">
        <v>261</v>
      </c>
      <c r="J57" s="1" t="s">
        <v>5</v>
      </c>
      <c r="K57" s="0" t="n">
        <v>3.97944</v>
      </c>
      <c r="L57" s="0" t="s">
        <v>262</v>
      </c>
      <c r="M57" s="1" t="s">
        <v>5</v>
      </c>
      <c r="N57" s="0" t="n">
        <v>18.633098</v>
      </c>
      <c r="O57" s="0" t="s">
        <v>224</v>
      </c>
      <c r="P57" s="1" t="s">
        <v>5</v>
      </c>
      <c r="Q57" s="0" t="n">
        <v>16.51536</v>
      </c>
      <c r="R57" s="0" t="s">
        <v>9</v>
      </c>
      <c r="S57" s="1" t="s">
        <v>6</v>
      </c>
      <c r="T57" s="0" t="s">
        <v>10</v>
      </c>
      <c r="U57" s="0" t="s">
        <v>253</v>
      </c>
      <c r="V57" s="0" t="s">
        <v>254</v>
      </c>
      <c r="W57" s="0" t="n">
        <v>18.252554</v>
      </c>
      <c r="X57" s="0" t="s">
        <v>255</v>
      </c>
      <c r="Y57" s="1" t="s">
        <v>5</v>
      </c>
      <c r="Z57" s="0" t="n">
        <v>9.033137</v>
      </c>
      <c r="AA57" s="0" t="s">
        <v>256</v>
      </c>
      <c r="AB57" s="1" t="s">
        <v>6</v>
      </c>
      <c r="AC57" s="0" t="n">
        <v>11.219801</v>
      </c>
      <c r="AD57" s="0" t="s">
        <v>255</v>
      </c>
      <c r="AE57" s="1" t="s">
        <v>6</v>
      </c>
      <c r="AF57" s="0" t="n">
        <v>31.117801</v>
      </c>
      <c r="AG57" s="0" t="s">
        <v>257</v>
      </c>
      <c r="AH57" s="1" t="s">
        <v>5</v>
      </c>
      <c r="AI57" s="0" t="n">
        <v>14.273832</v>
      </c>
      <c r="AJ57" s="0" t="s">
        <v>9</v>
      </c>
      <c r="AK57" s="1" t="s">
        <v>5</v>
      </c>
      <c r="AL57" s="0" t="s">
        <v>258</v>
      </c>
      <c r="AM57" s="0" t="s">
        <v>253</v>
      </c>
      <c r="AN57" s="0" t="s">
        <v>254</v>
      </c>
      <c r="AO57" s="0" t="n">
        <v>15.383057</v>
      </c>
      <c r="AP57" s="0" t="n">
        <v>1</v>
      </c>
      <c r="AQ57" s="0" t="n">
        <v>1</v>
      </c>
      <c r="AS57" s="2" t="str">
        <f aca="false">IF(AND(G57="true",J57="true",M57="true",P57="true",S57="true"),"true","false")</f>
        <v>false</v>
      </c>
      <c r="AT57" s="0" t="str">
        <f aca="false">IF(AND(Y57="true",AB57="true",AE57="true",AH57="true",AK57="true"),"true","false")</f>
        <v>false</v>
      </c>
    </row>
    <row r="58" customFormat="false" ht="12.8" hidden="false" customHeight="false" outlineLevel="0" collapsed="false">
      <c r="A58" s="0" t="s">
        <v>353</v>
      </c>
      <c r="B58" s="0" t="s">
        <v>1</v>
      </c>
      <c r="C58" s="0" t="s">
        <v>258</v>
      </c>
      <c r="D58" s="0" t="s">
        <v>254</v>
      </c>
      <c r="E58" s="0" t="n">
        <v>25.33497</v>
      </c>
      <c r="F58" s="0" t="s">
        <v>260</v>
      </c>
      <c r="G58" s="1" t="s">
        <v>5</v>
      </c>
      <c r="H58" s="0" t="n">
        <v>7.796012</v>
      </c>
      <c r="I58" s="0" t="s">
        <v>261</v>
      </c>
      <c r="J58" s="1" t="s">
        <v>5</v>
      </c>
      <c r="K58" s="0" t="n">
        <v>4.351091</v>
      </c>
      <c r="L58" s="0" t="s">
        <v>262</v>
      </c>
      <c r="M58" s="1" t="s">
        <v>5</v>
      </c>
      <c r="N58" s="0" t="n">
        <v>19.557515</v>
      </c>
      <c r="O58" s="0" t="s">
        <v>224</v>
      </c>
      <c r="P58" s="1" t="s">
        <v>5</v>
      </c>
      <c r="Q58" s="0" t="n">
        <v>21.123556</v>
      </c>
      <c r="R58" s="0" t="s">
        <v>15</v>
      </c>
      <c r="S58" s="1" t="s">
        <v>6</v>
      </c>
      <c r="T58" s="0" t="s">
        <v>10</v>
      </c>
      <c r="U58" s="0" t="s">
        <v>253</v>
      </c>
      <c r="V58" s="0" t="s">
        <v>254</v>
      </c>
      <c r="W58" s="0" t="n">
        <v>23.62058</v>
      </c>
      <c r="X58" s="0" t="s">
        <v>255</v>
      </c>
      <c r="Y58" s="1" t="s">
        <v>5</v>
      </c>
      <c r="Z58" s="0" t="n">
        <v>13.972908</v>
      </c>
      <c r="AA58" s="0" t="s">
        <v>256</v>
      </c>
      <c r="AB58" s="1" t="s">
        <v>6</v>
      </c>
      <c r="AC58" s="0" t="n">
        <v>8.918419</v>
      </c>
      <c r="AD58" s="0" t="s">
        <v>264</v>
      </c>
      <c r="AE58" s="1" t="s">
        <v>6</v>
      </c>
      <c r="AF58" s="0" t="n">
        <v>19.135122</v>
      </c>
      <c r="AG58" s="0" t="s">
        <v>257</v>
      </c>
      <c r="AH58" s="1" t="s">
        <v>5</v>
      </c>
      <c r="AI58" s="0" t="n">
        <v>9.772578</v>
      </c>
      <c r="AJ58" s="0" t="s">
        <v>9</v>
      </c>
      <c r="AK58" s="1" t="s">
        <v>5</v>
      </c>
      <c r="AL58" s="0" t="s">
        <v>258</v>
      </c>
      <c r="AM58" s="0" t="s">
        <v>253</v>
      </c>
      <c r="AN58" s="0" t="s">
        <v>254</v>
      </c>
      <c r="AO58" s="0" t="n">
        <v>3.331726</v>
      </c>
      <c r="AP58" s="0" t="n">
        <v>-1</v>
      </c>
      <c r="AQ58" s="0" t="n">
        <v>1</v>
      </c>
      <c r="AS58" s="2" t="str">
        <f aca="false">IF(AND(G58="true",J58="true",M58="true",P58="true",S58="true"),"true","false")</f>
        <v>false</v>
      </c>
      <c r="AT58" s="0" t="str">
        <f aca="false">IF(AND(Y58="true",AB58="true",AE58="true",AH58="true",AK58="true"),"true","false")</f>
        <v>false</v>
      </c>
    </row>
    <row r="59" customFormat="false" ht="12.8" hidden="false" customHeight="false" outlineLevel="0" collapsed="false">
      <c r="A59" s="0" t="s">
        <v>354</v>
      </c>
      <c r="B59" s="0" t="s">
        <v>1</v>
      </c>
      <c r="C59" s="0" t="s">
        <v>253</v>
      </c>
      <c r="D59" s="0" t="s">
        <v>254</v>
      </c>
      <c r="E59" s="0" t="n">
        <v>25.523688</v>
      </c>
      <c r="F59" s="0" t="s">
        <v>255</v>
      </c>
      <c r="G59" s="1" t="s">
        <v>5</v>
      </c>
      <c r="H59" s="0" t="n">
        <v>21.0019</v>
      </c>
      <c r="I59" s="0" t="s">
        <v>255</v>
      </c>
      <c r="J59" s="1" t="s">
        <v>5</v>
      </c>
      <c r="K59" s="0" t="n">
        <v>5.707827</v>
      </c>
      <c r="L59" s="0" t="s">
        <v>256</v>
      </c>
      <c r="M59" s="1" t="s">
        <v>5</v>
      </c>
      <c r="N59" s="0" t="n">
        <v>23.454321</v>
      </c>
      <c r="O59" s="0" t="s">
        <v>257</v>
      </c>
      <c r="P59" s="1" t="s">
        <v>5</v>
      </c>
      <c r="Q59" s="0" t="n">
        <v>22.6134</v>
      </c>
      <c r="R59" s="0" t="s">
        <v>15</v>
      </c>
      <c r="S59" s="1" t="s">
        <v>6</v>
      </c>
      <c r="T59" s="0" t="s">
        <v>10</v>
      </c>
      <c r="U59" s="0" t="s">
        <v>258</v>
      </c>
      <c r="V59" s="0" t="s">
        <v>254</v>
      </c>
      <c r="W59" s="0" t="n">
        <v>29.885438</v>
      </c>
      <c r="Y59" s="1" t="s">
        <v>6</v>
      </c>
      <c r="Z59" s="0" t="n">
        <v>0.603131</v>
      </c>
      <c r="AB59" s="1" t="s">
        <v>6</v>
      </c>
      <c r="AC59" s="0" t="n">
        <v>1.488316</v>
      </c>
      <c r="AE59" s="1" t="s">
        <v>6</v>
      </c>
      <c r="AF59" s="0" t="n">
        <v>1.035449</v>
      </c>
      <c r="AH59" s="1" t="s">
        <v>6</v>
      </c>
      <c r="AI59" s="0" t="n">
        <v>1.166027</v>
      </c>
      <c r="AK59" s="1" t="s">
        <v>6</v>
      </c>
      <c r="AL59" s="0" t="s">
        <v>253</v>
      </c>
      <c r="AM59" s="0" t="s">
        <v>258</v>
      </c>
      <c r="AN59" s="0" t="s">
        <v>254</v>
      </c>
      <c r="AO59" s="0" t="n">
        <v>1.818102</v>
      </c>
      <c r="AS59" s="2" t="str">
        <f aca="false">IF(AND(G59="true",J59="true",M59="true",P59="true",S59="true"),"true","false")</f>
        <v>false</v>
      </c>
      <c r="AT59" s="0" t="str">
        <f aca="false">IF(AND(Y59="true",AB59="true",AE59="true",AH59="true",AK59="true"),"true","false")</f>
        <v>false</v>
      </c>
    </row>
    <row r="60" customFormat="false" ht="12.8" hidden="false" customHeight="false" outlineLevel="0" collapsed="false">
      <c r="A60" s="0" t="s">
        <v>355</v>
      </c>
      <c r="B60" s="0" t="s">
        <v>1</v>
      </c>
      <c r="C60" s="0" t="s">
        <v>258</v>
      </c>
      <c r="D60" s="0" t="s">
        <v>254</v>
      </c>
      <c r="E60" s="0" t="n">
        <v>20.670341</v>
      </c>
      <c r="F60" s="0" t="s">
        <v>260</v>
      </c>
      <c r="G60" s="1" t="s">
        <v>5</v>
      </c>
      <c r="H60" s="0" t="n">
        <v>18.890356</v>
      </c>
      <c r="I60" s="0" t="s">
        <v>261</v>
      </c>
      <c r="J60" s="1" t="s">
        <v>5</v>
      </c>
      <c r="K60" s="0" t="n">
        <v>5.999886</v>
      </c>
      <c r="L60" s="0" t="s">
        <v>262</v>
      </c>
      <c r="M60" s="1" t="s">
        <v>5</v>
      </c>
      <c r="N60" s="0" t="n">
        <v>27.882678</v>
      </c>
      <c r="O60" s="0" t="s">
        <v>224</v>
      </c>
      <c r="P60" s="1" t="s">
        <v>5</v>
      </c>
      <c r="Q60" s="0" t="n">
        <v>8.160821</v>
      </c>
      <c r="R60" s="0" t="s">
        <v>15</v>
      </c>
      <c r="S60" s="1" t="s">
        <v>6</v>
      </c>
      <c r="T60" s="0" t="s">
        <v>10</v>
      </c>
      <c r="U60" s="0" t="s">
        <v>253</v>
      </c>
      <c r="V60" s="0" t="s">
        <v>254</v>
      </c>
      <c r="W60" s="0" t="n">
        <v>58.486361</v>
      </c>
      <c r="X60" s="0" t="s">
        <v>256</v>
      </c>
      <c r="Y60" s="1" t="s">
        <v>6</v>
      </c>
      <c r="Z60" s="0" t="n">
        <v>6.526789</v>
      </c>
      <c r="AA60" s="0" t="s">
        <v>256</v>
      </c>
      <c r="AB60" s="1" t="s">
        <v>6</v>
      </c>
      <c r="AC60" s="0" t="n">
        <v>7.079728</v>
      </c>
      <c r="AD60" s="0" t="s">
        <v>256</v>
      </c>
      <c r="AE60" s="1" t="s">
        <v>5</v>
      </c>
      <c r="AF60" s="0" t="n">
        <v>6.715685</v>
      </c>
      <c r="AG60" s="0" t="s">
        <v>356</v>
      </c>
      <c r="AH60" s="1" t="s">
        <v>6</v>
      </c>
      <c r="AI60" s="0" t="n">
        <v>6.168854</v>
      </c>
      <c r="AJ60" s="0" t="s">
        <v>15</v>
      </c>
      <c r="AK60" s="1" t="s">
        <v>6</v>
      </c>
      <c r="AL60" s="0" t="s">
        <v>258</v>
      </c>
      <c r="AM60" s="0" t="s">
        <v>253</v>
      </c>
      <c r="AN60" s="0" t="s">
        <v>254</v>
      </c>
      <c r="AO60" s="0" t="n">
        <v>5.111417</v>
      </c>
      <c r="AP60" s="0" t="n">
        <v>1</v>
      </c>
      <c r="AQ60" s="0" t="n">
        <v>-1</v>
      </c>
      <c r="AS60" s="2" t="str">
        <f aca="false">IF(AND(G60="true",J60="true",M60="true",P60="true",S60="true"),"true","false")</f>
        <v>false</v>
      </c>
      <c r="AT60" s="0" t="str">
        <f aca="false">IF(AND(Y60="true",AB60="true",AE60="true",AH60="true",AK60="true"),"true","false")</f>
        <v>false</v>
      </c>
    </row>
    <row r="61" customFormat="false" ht="12.8" hidden="false" customHeight="false" outlineLevel="0" collapsed="false">
      <c r="A61" s="0" t="s">
        <v>357</v>
      </c>
      <c r="B61" s="0" t="s">
        <v>1</v>
      </c>
      <c r="C61" s="0" t="s">
        <v>253</v>
      </c>
      <c r="D61" s="0" t="s">
        <v>254</v>
      </c>
      <c r="E61" s="0" t="n">
        <v>69.530739</v>
      </c>
      <c r="F61" s="0" t="s">
        <v>255</v>
      </c>
      <c r="G61" s="1" t="s">
        <v>5</v>
      </c>
      <c r="H61" s="0" t="n">
        <v>22.150934</v>
      </c>
      <c r="I61" s="0" t="s">
        <v>255</v>
      </c>
      <c r="J61" s="1" t="s">
        <v>5</v>
      </c>
      <c r="K61" s="0" t="n">
        <v>7.765567</v>
      </c>
      <c r="L61" s="0" t="s">
        <v>256</v>
      </c>
      <c r="M61" s="1" t="s">
        <v>5</v>
      </c>
      <c r="N61" s="0" t="n">
        <v>25.707615</v>
      </c>
      <c r="O61" s="0" t="s">
        <v>257</v>
      </c>
      <c r="P61" s="1" t="s">
        <v>5</v>
      </c>
      <c r="Q61" s="0" t="n">
        <v>60.365603</v>
      </c>
      <c r="R61" s="0" t="s">
        <v>15</v>
      </c>
      <c r="S61" s="1" t="s">
        <v>6</v>
      </c>
      <c r="T61" s="0" t="s">
        <v>10</v>
      </c>
      <c r="U61" s="0" t="s">
        <v>258</v>
      </c>
      <c r="V61" s="0" t="s">
        <v>254</v>
      </c>
      <c r="W61" s="0" t="n">
        <v>16.749106</v>
      </c>
      <c r="X61" s="0" t="s">
        <v>260</v>
      </c>
      <c r="Y61" s="1" t="s">
        <v>5</v>
      </c>
      <c r="Z61" s="0" t="n">
        <v>16.868918</v>
      </c>
      <c r="AA61" s="0" t="s">
        <v>261</v>
      </c>
      <c r="AB61" s="1" t="s">
        <v>5</v>
      </c>
      <c r="AC61" s="0" t="n">
        <v>5.438057</v>
      </c>
      <c r="AD61" s="0" t="s">
        <v>262</v>
      </c>
      <c r="AE61" s="1" t="s">
        <v>5</v>
      </c>
      <c r="AF61" s="0" t="n">
        <v>30.218026</v>
      </c>
      <c r="AG61" s="0" t="s">
        <v>224</v>
      </c>
      <c r="AH61" s="1" t="s">
        <v>5</v>
      </c>
      <c r="AI61" s="0" t="n">
        <v>25.221593</v>
      </c>
      <c r="AJ61" s="0" t="s">
        <v>15</v>
      </c>
      <c r="AK61" s="1" t="s">
        <v>6</v>
      </c>
      <c r="AL61" s="0" t="s">
        <v>253</v>
      </c>
      <c r="AM61" s="0" t="s">
        <v>258</v>
      </c>
      <c r="AN61" s="0" t="s">
        <v>254</v>
      </c>
      <c r="AO61" s="0" t="n">
        <v>8.92081</v>
      </c>
      <c r="AP61" s="0" t="n">
        <v>0</v>
      </c>
      <c r="AQ61" s="0" t="n">
        <v>1</v>
      </c>
      <c r="AS61" s="2" t="str">
        <f aca="false">IF(AND(G61="true",J61="true",M61="true",P61="true",S61="true"),"true","false")</f>
        <v>false</v>
      </c>
      <c r="AT61" s="0" t="str">
        <f aca="false">IF(AND(Y61="true",AB61="true",AE61="true",AH61="true",AK61="true"),"true","false")</f>
        <v>false</v>
      </c>
    </row>
    <row r="62" customFormat="false" ht="12.8" hidden="false" customHeight="false" outlineLevel="0" collapsed="false">
      <c r="A62" s="0" t="s">
        <v>358</v>
      </c>
      <c r="B62" s="0" t="s">
        <v>1</v>
      </c>
      <c r="C62" s="0" t="s">
        <v>258</v>
      </c>
      <c r="D62" s="0" t="s">
        <v>254</v>
      </c>
      <c r="E62" s="0" t="n">
        <v>44.045367</v>
      </c>
      <c r="F62" s="0" t="s">
        <v>260</v>
      </c>
      <c r="G62" s="1" t="s">
        <v>5</v>
      </c>
      <c r="H62" s="0" t="n">
        <v>13.27047</v>
      </c>
      <c r="I62" s="0" t="s">
        <v>261</v>
      </c>
      <c r="J62" s="1" t="s">
        <v>5</v>
      </c>
      <c r="K62" s="0" t="n">
        <v>2.888028</v>
      </c>
      <c r="L62" s="0" t="s">
        <v>262</v>
      </c>
      <c r="M62" s="1" t="s">
        <v>5</v>
      </c>
      <c r="N62" s="0" t="n">
        <v>45.159777</v>
      </c>
      <c r="O62" s="0" t="s">
        <v>224</v>
      </c>
      <c r="P62" s="1" t="s">
        <v>5</v>
      </c>
      <c r="Q62" s="0" t="n">
        <v>15.965043</v>
      </c>
      <c r="R62" s="0" t="s">
        <v>15</v>
      </c>
      <c r="S62" s="1" t="s">
        <v>6</v>
      </c>
      <c r="T62" s="0" t="s">
        <v>10</v>
      </c>
      <c r="U62" s="0" t="s">
        <v>253</v>
      </c>
      <c r="V62" s="0" t="s">
        <v>254</v>
      </c>
      <c r="W62" s="0" t="n">
        <v>2.306815</v>
      </c>
      <c r="X62" s="0" t="s">
        <v>359</v>
      </c>
      <c r="Y62" s="1" t="s">
        <v>6</v>
      </c>
      <c r="Z62" s="0" t="n">
        <v>0.912482</v>
      </c>
      <c r="AA62" s="0" t="s">
        <v>359</v>
      </c>
      <c r="AB62" s="1" t="s">
        <v>6</v>
      </c>
      <c r="AC62" s="0" t="n">
        <v>0.79813</v>
      </c>
      <c r="AD62" s="0" t="s">
        <v>360</v>
      </c>
      <c r="AE62" s="1" t="s">
        <v>6</v>
      </c>
      <c r="AF62" s="0" t="n">
        <v>1.0429</v>
      </c>
      <c r="AG62" s="0" t="s">
        <v>111</v>
      </c>
      <c r="AH62" s="1" t="s">
        <v>6</v>
      </c>
      <c r="AI62" s="0" t="n">
        <v>1.152443</v>
      </c>
      <c r="AJ62" s="0" t="s">
        <v>9</v>
      </c>
      <c r="AK62" s="1" t="s">
        <v>5</v>
      </c>
      <c r="AL62" s="0" t="s">
        <v>258</v>
      </c>
      <c r="AM62" s="0" t="s">
        <v>253</v>
      </c>
      <c r="AN62" s="0" t="s">
        <v>254</v>
      </c>
      <c r="AO62" s="0" t="n">
        <v>7.812733</v>
      </c>
      <c r="AP62" s="0" t="n">
        <v>2</v>
      </c>
      <c r="AQ62" s="0" t="n">
        <v>0</v>
      </c>
      <c r="AS62" s="2" t="str">
        <f aca="false">IF(AND(G62="true",J62="true",M62="true",P62="true",S62="true"),"true","false")</f>
        <v>false</v>
      </c>
      <c r="AT62" s="0" t="str">
        <f aca="false">IF(AND(Y62="true",AB62="true",AE62="true",AH62="true",AK62="true"),"true","false")</f>
        <v>false</v>
      </c>
    </row>
    <row r="63" customFormat="false" ht="12.8" hidden="false" customHeight="false" outlineLevel="0" collapsed="false">
      <c r="A63" s="0" t="s">
        <v>361</v>
      </c>
      <c r="B63" s="0" t="s">
        <v>1</v>
      </c>
      <c r="C63" s="0" t="s">
        <v>253</v>
      </c>
      <c r="D63" s="0" t="s">
        <v>254</v>
      </c>
      <c r="E63" s="0" t="n">
        <v>59.661354</v>
      </c>
      <c r="F63" s="0" t="s">
        <v>255</v>
      </c>
      <c r="G63" s="1" t="s">
        <v>5</v>
      </c>
      <c r="H63" s="0" t="n">
        <v>36.562278</v>
      </c>
      <c r="I63" s="0" t="s">
        <v>256</v>
      </c>
      <c r="J63" s="1" t="s">
        <v>6</v>
      </c>
      <c r="K63" s="0" t="n">
        <v>47.36519</v>
      </c>
      <c r="L63" s="0" t="s">
        <v>362</v>
      </c>
      <c r="M63" s="1" t="s">
        <v>6</v>
      </c>
      <c r="N63" s="0" t="n">
        <v>35.526794</v>
      </c>
      <c r="O63" s="0" t="s">
        <v>276</v>
      </c>
      <c r="P63" s="1" t="s">
        <v>6</v>
      </c>
      <c r="Q63" s="0" t="n">
        <v>7.447391</v>
      </c>
      <c r="R63" s="0" t="s">
        <v>15</v>
      </c>
      <c r="S63" s="1" t="s">
        <v>6</v>
      </c>
      <c r="T63" s="0" t="s">
        <v>10</v>
      </c>
      <c r="U63" s="0" t="s">
        <v>258</v>
      </c>
      <c r="V63" s="0" t="s">
        <v>254</v>
      </c>
      <c r="W63" s="0" t="n">
        <v>28.402233</v>
      </c>
      <c r="X63" s="0" t="s">
        <v>260</v>
      </c>
      <c r="Y63" s="1" t="s">
        <v>5</v>
      </c>
      <c r="Z63" s="0" t="n">
        <v>11.381516</v>
      </c>
      <c r="AA63" s="0" t="s">
        <v>260</v>
      </c>
      <c r="AB63" s="1" t="s">
        <v>6</v>
      </c>
      <c r="AC63" s="0" t="n">
        <v>6.09009</v>
      </c>
      <c r="AD63" s="0" t="s">
        <v>363</v>
      </c>
      <c r="AE63" s="1" t="s">
        <v>6</v>
      </c>
      <c r="AF63" s="0" t="n">
        <v>12.092838</v>
      </c>
      <c r="AG63" s="0" t="s">
        <v>324</v>
      </c>
      <c r="AH63" s="1" t="s">
        <v>6</v>
      </c>
      <c r="AI63" s="0" t="n">
        <v>3.759695</v>
      </c>
      <c r="AJ63" s="0" t="s">
        <v>15</v>
      </c>
      <c r="AK63" s="1" t="s">
        <v>6</v>
      </c>
      <c r="AL63" s="0" t="s">
        <v>253</v>
      </c>
      <c r="AM63" s="0" t="s">
        <v>258</v>
      </c>
      <c r="AN63" s="0" t="s">
        <v>254</v>
      </c>
      <c r="AO63" s="0" t="n">
        <v>3.76305</v>
      </c>
      <c r="AP63" s="0" t="n">
        <v>-1</v>
      </c>
      <c r="AQ63" s="0" t="n">
        <v>-1</v>
      </c>
      <c r="AS63" s="2" t="str">
        <f aca="false">IF(AND(G63="true",J63="true",M63="true",P63="true",S63="true"),"true","false")</f>
        <v>false</v>
      </c>
      <c r="AT63" s="0" t="str">
        <f aca="false">IF(AND(Y63="true",AB63="true",AE63="true",AH63="true",AK63="true"),"true","false")</f>
        <v>false</v>
      </c>
    </row>
    <row r="64" customFormat="false" ht="12.8" hidden="false" customHeight="false" outlineLevel="0" collapsed="false">
      <c r="A64" s="0" t="s">
        <v>364</v>
      </c>
      <c r="B64" s="0" t="s">
        <v>1</v>
      </c>
      <c r="C64" s="0" t="s">
        <v>258</v>
      </c>
      <c r="D64" s="0" t="s">
        <v>254</v>
      </c>
      <c r="E64" s="0" t="n">
        <v>56.243409</v>
      </c>
      <c r="F64" s="0" t="s">
        <v>260</v>
      </c>
      <c r="G64" s="1" t="s">
        <v>5</v>
      </c>
      <c r="H64" s="0" t="n">
        <v>11.470265</v>
      </c>
      <c r="I64" s="0" t="s">
        <v>261</v>
      </c>
      <c r="J64" s="1" t="s">
        <v>5</v>
      </c>
      <c r="K64" s="0" t="n">
        <v>32.660941</v>
      </c>
      <c r="L64" s="0" t="s">
        <v>262</v>
      </c>
      <c r="M64" s="1" t="s">
        <v>5</v>
      </c>
      <c r="N64" s="0" t="n">
        <v>19.65581</v>
      </c>
      <c r="O64" s="0" t="s">
        <v>224</v>
      </c>
      <c r="P64" s="1" t="s">
        <v>5</v>
      </c>
      <c r="Q64" s="0" t="n">
        <v>8.666782</v>
      </c>
      <c r="R64" s="0" t="s">
        <v>9</v>
      </c>
      <c r="S64" s="1" t="s">
        <v>6</v>
      </c>
      <c r="T64" s="0" t="s">
        <v>10</v>
      </c>
      <c r="U64" s="0" t="s">
        <v>253</v>
      </c>
      <c r="V64" s="0" t="s">
        <v>254</v>
      </c>
      <c r="W64" s="0" t="n">
        <v>70.44644</v>
      </c>
      <c r="X64" s="0" t="s">
        <v>255</v>
      </c>
      <c r="Y64" s="1" t="s">
        <v>5</v>
      </c>
      <c r="Z64" s="0" t="n">
        <v>19.973631</v>
      </c>
      <c r="AA64" s="0" t="s">
        <v>255</v>
      </c>
      <c r="AB64" s="1" t="s">
        <v>5</v>
      </c>
      <c r="AC64" s="0" t="n">
        <v>16.58565</v>
      </c>
      <c r="AD64" s="0" t="s">
        <v>256</v>
      </c>
      <c r="AE64" s="1" t="s">
        <v>5</v>
      </c>
      <c r="AF64" s="0" t="n">
        <v>23.385252</v>
      </c>
      <c r="AG64" s="0" t="s">
        <v>257</v>
      </c>
      <c r="AH64" s="1" t="s">
        <v>5</v>
      </c>
      <c r="AI64" s="0" t="n">
        <v>59.076595</v>
      </c>
      <c r="AJ64" s="0" t="s">
        <v>15</v>
      </c>
      <c r="AK64" s="1" t="s">
        <v>6</v>
      </c>
      <c r="AL64" s="0" t="s">
        <v>258</v>
      </c>
      <c r="AM64" s="0" t="s">
        <v>253</v>
      </c>
      <c r="AN64" s="0" t="s">
        <v>254</v>
      </c>
      <c r="AO64" s="0" t="n">
        <v>23.596938</v>
      </c>
      <c r="AP64" s="0" t="n">
        <v>1</v>
      </c>
      <c r="AQ64" s="0" t="n">
        <v>1</v>
      </c>
      <c r="AR64" s="0" t="s">
        <v>365</v>
      </c>
      <c r="AS64" s="2" t="str">
        <f aca="false">IF(AND(G64="true",J64="true",M64="true",P64="true",S64="true"),"true","false")</f>
        <v>false</v>
      </c>
      <c r="AT64" s="0" t="str">
        <f aca="false">IF(AND(Y64="true",AB64="true",AE64="true",AH64="true",AK64="true"),"true","false")</f>
        <v>false</v>
      </c>
    </row>
    <row r="65" customFormat="false" ht="12.8" hidden="false" customHeight="false" outlineLevel="0" collapsed="false">
      <c r="A65" s="0" t="s">
        <v>366</v>
      </c>
      <c r="B65" s="0" t="s">
        <v>1</v>
      </c>
      <c r="C65" s="0" t="s">
        <v>253</v>
      </c>
      <c r="D65" s="0" t="s">
        <v>254</v>
      </c>
      <c r="E65" s="0" t="n">
        <v>32.255971</v>
      </c>
      <c r="F65" s="0" t="s">
        <v>255</v>
      </c>
      <c r="G65" s="1" t="s">
        <v>5</v>
      </c>
      <c r="H65" s="0" t="n">
        <v>16.318039</v>
      </c>
      <c r="I65" s="0" t="s">
        <v>255</v>
      </c>
      <c r="J65" s="1" t="s">
        <v>5</v>
      </c>
      <c r="K65" s="0" t="n">
        <v>8.857904</v>
      </c>
      <c r="L65" s="0" t="s">
        <v>256</v>
      </c>
      <c r="M65" s="1" t="s">
        <v>5</v>
      </c>
      <c r="N65" s="0" t="n">
        <v>28.632341</v>
      </c>
      <c r="O65" s="0" t="s">
        <v>257</v>
      </c>
      <c r="P65" s="1" t="s">
        <v>5</v>
      </c>
      <c r="Q65" s="0" t="n">
        <v>72.01438</v>
      </c>
      <c r="R65" s="0" t="s">
        <v>15</v>
      </c>
      <c r="S65" s="1" t="s">
        <v>6</v>
      </c>
      <c r="T65" s="0" t="s">
        <v>10</v>
      </c>
      <c r="U65" s="0" t="s">
        <v>258</v>
      </c>
      <c r="V65" s="0" t="s">
        <v>254</v>
      </c>
      <c r="W65" s="0" t="n">
        <v>27.06437</v>
      </c>
      <c r="X65" s="0" t="s">
        <v>260</v>
      </c>
      <c r="Y65" s="1" t="s">
        <v>5</v>
      </c>
      <c r="Z65" s="0" t="n">
        <v>18.733016</v>
      </c>
      <c r="AA65" s="0" t="s">
        <v>261</v>
      </c>
      <c r="AB65" s="1" t="s">
        <v>5</v>
      </c>
      <c r="AC65" s="0" t="n">
        <v>7.580227</v>
      </c>
      <c r="AD65" s="0" t="s">
        <v>262</v>
      </c>
      <c r="AE65" s="1" t="s">
        <v>5</v>
      </c>
      <c r="AF65" s="0" t="n">
        <v>19.57336</v>
      </c>
      <c r="AG65" s="0" t="s">
        <v>224</v>
      </c>
      <c r="AH65" s="1" t="s">
        <v>5</v>
      </c>
      <c r="AI65" s="0" t="n">
        <v>13.218087</v>
      </c>
      <c r="AJ65" s="0" t="s">
        <v>9</v>
      </c>
      <c r="AK65" s="1" t="s">
        <v>5</v>
      </c>
      <c r="AL65" s="0" t="s">
        <v>253</v>
      </c>
      <c r="AM65" s="0" t="s">
        <v>258</v>
      </c>
      <c r="AN65" s="0" t="s">
        <v>254</v>
      </c>
      <c r="AO65" s="0" t="n">
        <v>12.271286</v>
      </c>
      <c r="AP65" s="0" t="n">
        <v>0</v>
      </c>
      <c r="AQ65" s="0" t="n">
        <v>1</v>
      </c>
      <c r="AS65" s="2" t="str">
        <f aca="false">IF(AND(G65="true",J65="true",M65="true",P65="true",S65="true"),"true","false")</f>
        <v>false</v>
      </c>
      <c r="AT65" s="0" t="str">
        <f aca="false">IF(AND(Y65="true",AB65="true",AE65="true",AH65="true",AK65="true"),"true","false")</f>
        <v>true</v>
      </c>
    </row>
    <row r="66" customFormat="false" ht="12.8" hidden="false" customHeight="false" outlineLevel="0" collapsed="false">
      <c r="A66" s="0" t="s">
        <v>367</v>
      </c>
      <c r="B66" s="0" t="s">
        <v>1</v>
      </c>
      <c r="C66" s="0" t="s">
        <v>258</v>
      </c>
      <c r="D66" s="0" t="s">
        <v>254</v>
      </c>
      <c r="E66" s="0" t="n">
        <v>19.57947</v>
      </c>
      <c r="F66" s="0" t="s">
        <v>260</v>
      </c>
      <c r="G66" s="1" t="s">
        <v>5</v>
      </c>
      <c r="H66" s="0" t="n">
        <v>10.228275</v>
      </c>
      <c r="I66" s="0" t="s">
        <v>261</v>
      </c>
      <c r="J66" s="1" t="s">
        <v>5</v>
      </c>
      <c r="K66" s="0" t="n">
        <v>5.898265</v>
      </c>
      <c r="L66" s="0" t="s">
        <v>262</v>
      </c>
      <c r="M66" s="1" t="s">
        <v>5</v>
      </c>
      <c r="N66" s="0" t="n">
        <v>11.258337</v>
      </c>
      <c r="O66" s="0" t="s">
        <v>224</v>
      </c>
      <c r="P66" s="1" t="s">
        <v>5</v>
      </c>
      <c r="Q66" s="0" t="n">
        <v>16.249846</v>
      </c>
      <c r="R66" s="0" t="s">
        <v>9</v>
      </c>
      <c r="S66" s="1" t="s">
        <v>6</v>
      </c>
      <c r="T66" s="0" t="s">
        <v>10</v>
      </c>
      <c r="U66" s="0" t="s">
        <v>253</v>
      </c>
      <c r="V66" s="0" t="s">
        <v>254</v>
      </c>
      <c r="W66" s="0" t="n">
        <v>37.418909</v>
      </c>
      <c r="X66" s="0" t="s">
        <v>368</v>
      </c>
      <c r="Y66" s="1" t="s">
        <v>6</v>
      </c>
      <c r="Z66" s="0" t="n">
        <v>14.719811</v>
      </c>
      <c r="AA66" s="0" t="s">
        <v>368</v>
      </c>
      <c r="AB66" s="1" t="s">
        <v>6</v>
      </c>
      <c r="AC66" s="0" t="n">
        <v>14.935335</v>
      </c>
      <c r="AD66" s="0" t="s">
        <v>303</v>
      </c>
      <c r="AE66" s="1" t="s">
        <v>6</v>
      </c>
      <c r="AF66" s="0" t="n">
        <v>26.771873</v>
      </c>
      <c r="AG66" s="0" t="s">
        <v>369</v>
      </c>
      <c r="AH66" s="1" t="s">
        <v>6</v>
      </c>
      <c r="AI66" s="0" t="n">
        <v>10.671396</v>
      </c>
      <c r="AJ66" s="0" t="s">
        <v>9</v>
      </c>
      <c r="AK66" s="1" t="s">
        <v>5</v>
      </c>
      <c r="AL66" s="0" t="s">
        <v>258</v>
      </c>
      <c r="AM66" s="0" t="s">
        <v>253</v>
      </c>
      <c r="AN66" s="0" t="s">
        <v>254</v>
      </c>
      <c r="AO66" s="0" t="n">
        <v>5.547417</v>
      </c>
      <c r="AP66" s="0" t="n">
        <v>2</v>
      </c>
      <c r="AQ66" s="0" t="n">
        <v>-2</v>
      </c>
      <c r="AS66" s="2" t="str">
        <f aca="false">IF(AND(G66="true",J66="true",M66="true",P66="true",S66="true"),"true","false")</f>
        <v>false</v>
      </c>
      <c r="AT66" s="0" t="str">
        <f aca="false">IF(AND(Y66="true",AB66="true",AE66="true",AH66="true",AK66="true"),"true","false")</f>
        <v>false</v>
      </c>
    </row>
    <row r="67" customFormat="false" ht="12.8" hidden="false" customHeight="false" outlineLevel="0" collapsed="false">
      <c r="A67" s="0" t="s">
        <v>370</v>
      </c>
      <c r="B67" s="0" t="s">
        <v>1</v>
      </c>
      <c r="C67" s="0" t="s">
        <v>258</v>
      </c>
      <c r="D67" s="0" t="s">
        <v>254</v>
      </c>
      <c r="E67" s="0" t="n">
        <v>30.895269</v>
      </c>
      <c r="F67" s="0" t="s">
        <v>260</v>
      </c>
      <c r="G67" s="1" t="s">
        <v>5</v>
      </c>
      <c r="H67" s="0" t="n">
        <v>7.397911</v>
      </c>
      <c r="I67" s="0" t="s">
        <v>262</v>
      </c>
      <c r="J67" s="1" t="s">
        <v>6</v>
      </c>
      <c r="K67" s="0" t="n">
        <v>3.832372</v>
      </c>
      <c r="L67" s="0" t="s">
        <v>261</v>
      </c>
      <c r="M67" s="1" t="s">
        <v>6</v>
      </c>
      <c r="N67" s="0" t="n">
        <v>15.342751</v>
      </c>
      <c r="O67" s="0" t="s">
        <v>224</v>
      </c>
      <c r="P67" s="1" t="s">
        <v>5</v>
      </c>
      <c r="Q67" s="0" t="n">
        <v>9.501963</v>
      </c>
      <c r="R67" s="0" t="s">
        <v>15</v>
      </c>
      <c r="S67" s="1" t="s">
        <v>6</v>
      </c>
      <c r="T67" s="0" t="s">
        <v>10</v>
      </c>
      <c r="U67" s="0" t="s">
        <v>253</v>
      </c>
      <c r="V67" s="0" t="s">
        <v>254</v>
      </c>
      <c r="W67" s="0" t="n">
        <v>3.45066</v>
      </c>
      <c r="Y67" s="1" t="s">
        <v>6</v>
      </c>
      <c r="Z67" s="0" t="n">
        <v>0.63394</v>
      </c>
      <c r="AB67" s="1" t="s">
        <v>6</v>
      </c>
      <c r="AC67" s="0" t="n">
        <v>0.868016</v>
      </c>
      <c r="AE67" s="1" t="s">
        <v>6</v>
      </c>
      <c r="AF67" s="0" t="n">
        <v>1.312415</v>
      </c>
      <c r="AH67" s="1" t="s">
        <v>6</v>
      </c>
      <c r="AI67" s="0" t="n">
        <v>3.565622</v>
      </c>
      <c r="AJ67" s="0" t="s">
        <v>9</v>
      </c>
      <c r="AK67" s="1" t="s">
        <v>5</v>
      </c>
      <c r="AL67" s="0" t="s">
        <v>258</v>
      </c>
      <c r="AM67" s="0" t="s">
        <v>253</v>
      </c>
      <c r="AN67" s="0" t="s">
        <v>254</v>
      </c>
      <c r="AO67" s="0" t="n">
        <v>6.24377</v>
      </c>
      <c r="AP67" s="0" t="n">
        <v>1</v>
      </c>
      <c r="AQ67" s="0" t="n">
        <v>0</v>
      </c>
      <c r="AS67" s="2" t="str">
        <f aca="false">IF(AND(G67="true",J67="true",M67="true",P67="true",S67="true"),"true","false")</f>
        <v>false</v>
      </c>
      <c r="AT67" s="0" t="str">
        <f aca="false">IF(AND(Y67="true",AB67="true",AE67="true",AH67="true",AK67="true"),"true","false")</f>
        <v>false</v>
      </c>
    </row>
    <row r="68" customFormat="false" ht="12.8" hidden="false" customHeight="false" outlineLevel="0" collapsed="false">
      <c r="A68" s="0" t="s">
        <v>371</v>
      </c>
      <c r="B68" s="0" t="s">
        <v>1</v>
      </c>
      <c r="C68" s="0" t="s">
        <v>258</v>
      </c>
      <c r="D68" s="0" t="s">
        <v>254</v>
      </c>
      <c r="E68" s="0" t="n">
        <v>37.469447</v>
      </c>
      <c r="F68" s="0" t="s">
        <v>260</v>
      </c>
      <c r="G68" s="1" t="s">
        <v>5</v>
      </c>
      <c r="H68" s="0" t="n">
        <v>11.698171</v>
      </c>
      <c r="I68" s="0" t="s">
        <v>261</v>
      </c>
      <c r="J68" s="1" t="s">
        <v>5</v>
      </c>
      <c r="K68" s="0" t="n">
        <v>4.935493</v>
      </c>
      <c r="L68" s="0" t="s">
        <v>262</v>
      </c>
      <c r="M68" s="1" t="s">
        <v>5</v>
      </c>
      <c r="N68" s="0" t="n">
        <v>54.396411</v>
      </c>
      <c r="O68" s="0" t="s">
        <v>224</v>
      </c>
      <c r="P68" s="1" t="s">
        <v>5</v>
      </c>
      <c r="Q68" s="0" t="n">
        <v>35.890094</v>
      </c>
      <c r="R68" s="0" t="s">
        <v>15</v>
      </c>
      <c r="S68" s="1" t="s">
        <v>6</v>
      </c>
      <c r="T68" s="0" t="s">
        <v>10</v>
      </c>
      <c r="U68" s="0" t="s">
        <v>253</v>
      </c>
      <c r="V68" s="0" t="s">
        <v>254</v>
      </c>
      <c r="W68" s="0" t="n">
        <v>29.564367</v>
      </c>
      <c r="X68" s="0" t="s">
        <v>255</v>
      </c>
      <c r="Y68" s="1" t="s">
        <v>5</v>
      </c>
      <c r="Z68" s="0" t="n">
        <v>168.633429</v>
      </c>
      <c r="AA68" s="0" t="s">
        <v>255</v>
      </c>
      <c r="AB68" s="1" t="s">
        <v>5</v>
      </c>
      <c r="AC68" s="0" t="n">
        <v>2.628707</v>
      </c>
      <c r="AD68" s="0" t="s">
        <v>256</v>
      </c>
      <c r="AE68" s="1" t="s">
        <v>5</v>
      </c>
      <c r="AF68" s="0" t="n">
        <v>39.202762</v>
      </c>
      <c r="AG68" s="0" t="s">
        <v>257</v>
      </c>
      <c r="AH68" s="1" t="s">
        <v>5</v>
      </c>
      <c r="AI68" s="0" t="n">
        <v>42.539284</v>
      </c>
      <c r="AJ68" s="0" t="s">
        <v>15</v>
      </c>
      <c r="AK68" s="1" t="s">
        <v>6</v>
      </c>
      <c r="AL68" s="0" t="s">
        <v>258</v>
      </c>
      <c r="AM68" s="0" t="s">
        <v>253</v>
      </c>
      <c r="AN68" s="0" t="s">
        <v>254</v>
      </c>
      <c r="AO68" s="0" t="n">
        <v>10.246176</v>
      </c>
      <c r="AP68" s="0" t="n">
        <v>0</v>
      </c>
      <c r="AQ68" s="0" t="n">
        <v>0</v>
      </c>
      <c r="AS68" s="2" t="str">
        <f aca="false">IF(AND(G68="true",J68="true",M68="true",P68="true",S68="true"),"true","false")</f>
        <v>false</v>
      </c>
      <c r="AT68" s="0" t="str">
        <f aca="false">IF(AND(Y68="true",AB68="true",AE68="true",AH68="true",AK68="true"),"true","false")</f>
        <v>false</v>
      </c>
    </row>
    <row r="69" customFormat="false" ht="12.8" hidden="false" customHeight="false" outlineLevel="0" collapsed="false">
      <c r="A69" s="0" t="s">
        <v>372</v>
      </c>
      <c r="B69" s="0" t="s">
        <v>1</v>
      </c>
      <c r="C69" s="0" t="s">
        <v>253</v>
      </c>
      <c r="D69" s="0" t="s">
        <v>254</v>
      </c>
      <c r="E69" s="0" t="n">
        <v>17.773625</v>
      </c>
      <c r="F69" s="0" t="s">
        <v>255</v>
      </c>
      <c r="G69" s="1" t="s">
        <v>5</v>
      </c>
      <c r="H69" s="0" t="n">
        <v>19.159897</v>
      </c>
      <c r="I69" s="0" t="s">
        <v>255</v>
      </c>
      <c r="J69" s="1" t="s">
        <v>5</v>
      </c>
      <c r="K69" s="0" t="n">
        <v>5.462208</v>
      </c>
      <c r="L69" s="0" t="s">
        <v>256</v>
      </c>
      <c r="M69" s="1" t="s">
        <v>5</v>
      </c>
      <c r="N69" s="0" t="n">
        <v>18.364269</v>
      </c>
      <c r="O69" s="0" t="s">
        <v>257</v>
      </c>
      <c r="P69" s="1" t="s">
        <v>5</v>
      </c>
      <c r="Q69" s="0" t="n">
        <v>66.315719</v>
      </c>
      <c r="R69" s="0" t="s">
        <v>9</v>
      </c>
      <c r="S69" s="1" t="s">
        <v>6</v>
      </c>
      <c r="T69" s="0" t="s">
        <v>10</v>
      </c>
      <c r="U69" s="0" t="s">
        <v>258</v>
      </c>
      <c r="V69" s="0" t="s">
        <v>254</v>
      </c>
      <c r="W69" s="0" t="n">
        <v>17.948458</v>
      </c>
      <c r="X69" s="0" t="s">
        <v>260</v>
      </c>
      <c r="Y69" s="1" t="s">
        <v>5</v>
      </c>
      <c r="Z69" s="0" t="n">
        <v>13.584745</v>
      </c>
      <c r="AA69" s="0" t="s">
        <v>261</v>
      </c>
      <c r="AB69" s="1" t="s">
        <v>5</v>
      </c>
      <c r="AC69" s="0" t="n">
        <v>5.878109</v>
      </c>
      <c r="AD69" s="0" t="s">
        <v>262</v>
      </c>
      <c r="AE69" s="1" t="s">
        <v>5</v>
      </c>
      <c r="AF69" s="0" t="n">
        <v>31.422761</v>
      </c>
      <c r="AG69" s="0" t="s">
        <v>224</v>
      </c>
      <c r="AH69" s="1" t="s">
        <v>5</v>
      </c>
      <c r="AI69" s="0" t="n">
        <v>19.270864</v>
      </c>
      <c r="AJ69" s="0" t="s">
        <v>9</v>
      </c>
      <c r="AK69" s="1" t="s">
        <v>5</v>
      </c>
      <c r="AL69" s="0" t="s">
        <v>253</v>
      </c>
      <c r="AM69" s="0" t="s">
        <v>258</v>
      </c>
      <c r="AN69" s="0" t="s">
        <v>254</v>
      </c>
      <c r="AO69" s="0" t="n">
        <v>7.24091</v>
      </c>
      <c r="AP69" s="0" t="n">
        <v>2</v>
      </c>
      <c r="AQ69" s="0" t="n">
        <v>0</v>
      </c>
      <c r="AS69" s="2" t="str">
        <f aca="false">IF(AND(G69="true",J69="true",M69="true",P69="true",S69="true"),"true","false")</f>
        <v>false</v>
      </c>
      <c r="AT69" s="0" t="str">
        <f aca="false">IF(AND(Y69="true",AB69="true",AE69="true",AH69="true",AK69="true"),"true","false")</f>
        <v>true</v>
      </c>
    </row>
    <row r="70" customFormat="false" ht="12.8" hidden="false" customHeight="false" outlineLevel="0" collapsed="false">
      <c r="A70" s="0" t="s">
        <v>373</v>
      </c>
      <c r="B70" s="0" t="s">
        <v>1</v>
      </c>
      <c r="C70" s="0" t="s">
        <v>258</v>
      </c>
      <c r="D70" s="0" t="s">
        <v>254</v>
      </c>
      <c r="E70" s="0" t="n">
        <v>40.72701</v>
      </c>
      <c r="F70" s="0" t="s">
        <v>260</v>
      </c>
      <c r="G70" s="1" t="s">
        <v>5</v>
      </c>
      <c r="H70" s="0" t="n">
        <v>12.625043</v>
      </c>
      <c r="I70" s="0" t="s">
        <v>261</v>
      </c>
      <c r="J70" s="1" t="s">
        <v>5</v>
      </c>
      <c r="K70" s="0" t="n">
        <v>3.453857</v>
      </c>
      <c r="L70" s="0" t="s">
        <v>262</v>
      </c>
      <c r="M70" s="1" t="s">
        <v>5</v>
      </c>
      <c r="N70" s="0" t="n">
        <v>23.310217</v>
      </c>
      <c r="O70" s="0" t="s">
        <v>224</v>
      </c>
      <c r="P70" s="1" t="s">
        <v>5</v>
      </c>
      <c r="Q70" s="0" t="n">
        <v>6.062463</v>
      </c>
      <c r="R70" s="0" t="s">
        <v>15</v>
      </c>
      <c r="S70" s="1" t="s">
        <v>6</v>
      </c>
      <c r="T70" s="0" t="s">
        <v>10</v>
      </c>
      <c r="U70" s="0" t="s">
        <v>253</v>
      </c>
      <c r="V70" s="0" t="s">
        <v>254</v>
      </c>
      <c r="W70" s="0" t="n">
        <v>18.791168</v>
      </c>
      <c r="X70" s="0" t="s">
        <v>255</v>
      </c>
      <c r="Y70" s="1" t="s">
        <v>5</v>
      </c>
      <c r="Z70" s="0" t="n">
        <v>12.547491</v>
      </c>
      <c r="AA70" s="0" t="s">
        <v>264</v>
      </c>
      <c r="AB70" s="1" t="s">
        <v>6</v>
      </c>
      <c r="AC70" s="0" t="n">
        <v>3.401257</v>
      </c>
      <c r="AE70" s="1" t="s">
        <v>6</v>
      </c>
      <c r="AF70" s="0" t="n">
        <v>29.134661</v>
      </c>
      <c r="AG70" s="0" t="s">
        <v>257</v>
      </c>
      <c r="AH70" s="1" t="s">
        <v>5</v>
      </c>
      <c r="AI70" s="0" t="n">
        <v>10.306223</v>
      </c>
      <c r="AJ70" s="0" t="s">
        <v>15</v>
      </c>
      <c r="AK70" s="1" t="s">
        <v>6</v>
      </c>
      <c r="AL70" s="0" t="s">
        <v>258</v>
      </c>
      <c r="AM70" s="0" t="s">
        <v>253</v>
      </c>
      <c r="AN70" s="0" t="s">
        <v>254</v>
      </c>
      <c r="AO70" s="0" t="n">
        <v>4.648259</v>
      </c>
      <c r="AP70" s="0" t="n">
        <v>1</v>
      </c>
      <c r="AQ70" s="0" t="n">
        <v>1</v>
      </c>
      <c r="AS70" s="2" t="str">
        <f aca="false">IF(AND(G70="true",J70="true",M70="true",P70="true",S70="true"),"true","false")</f>
        <v>false</v>
      </c>
      <c r="AT70" s="0" t="str">
        <f aca="false">IF(AND(Y70="true",AB70="true",AE70="true",AH70="true",AK70="true"),"true","false")</f>
        <v>false</v>
      </c>
    </row>
    <row r="71" customFormat="false" ht="12.8" hidden="false" customHeight="false" outlineLevel="0" collapsed="false">
      <c r="A71" s="0" t="s">
        <v>374</v>
      </c>
      <c r="B71" s="0" t="s">
        <v>1</v>
      </c>
      <c r="C71" s="0" t="s">
        <v>253</v>
      </c>
      <c r="D71" s="0" t="s">
        <v>254</v>
      </c>
      <c r="E71" s="0" t="n">
        <v>54.08802</v>
      </c>
      <c r="F71" s="0" t="s">
        <v>255</v>
      </c>
      <c r="G71" s="1" t="s">
        <v>5</v>
      </c>
      <c r="H71" s="0" t="n">
        <v>34.911038</v>
      </c>
      <c r="I71" s="0" t="s">
        <v>255</v>
      </c>
      <c r="J71" s="1" t="s">
        <v>5</v>
      </c>
      <c r="K71" s="0" t="n">
        <v>21.916319</v>
      </c>
      <c r="L71" s="0" t="s">
        <v>256</v>
      </c>
      <c r="M71" s="1" t="s">
        <v>5</v>
      </c>
      <c r="N71" s="0" t="n">
        <v>22.263976</v>
      </c>
      <c r="O71" s="0" t="s">
        <v>257</v>
      </c>
      <c r="P71" s="1" t="s">
        <v>5</v>
      </c>
      <c r="Q71" s="0" t="n">
        <v>44.431304</v>
      </c>
      <c r="R71" s="0" t="s">
        <v>51</v>
      </c>
      <c r="S71" s="1" t="s">
        <v>5</v>
      </c>
      <c r="T71" s="0" t="s">
        <v>10</v>
      </c>
      <c r="U71" s="0" t="s">
        <v>258</v>
      </c>
      <c r="V71" s="0" t="s">
        <v>254</v>
      </c>
      <c r="W71" s="0" t="n">
        <v>30.825205</v>
      </c>
      <c r="X71" s="0" t="s">
        <v>260</v>
      </c>
      <c r="Y71" s="1" t="s">
        <v>5</v>
      </c>
      <c r="Z71" s="0" t="n">
        <v>11.947332</v>
      </c>
      <c r="AA71" s="0" t="s">
        <v>262</v>
      </c>
      <c r="AB71" s="1" t="s">
        <v>6</v>
      </c>
      <c r="AC71" s="0" t="n">
        <v>13.167677</v>
      </c>
      <c r="AD71" s="0" t="s">
        <v>261</v>
      </c>
      <c r="AE71" s="1" t="s">
        <v>6</v>
      </c>
      <c r="AF71" s="0" t="n">
        <v>34.717182</v>
      </c>
      <c r="AG71" s="0" t="s">
        <v>224</v>
      </c>
      <c r="AH71" s="1" t="s">
        <v>5</v>
      </c>
      <c r="AI71" s="0" t="n">
        <v>39.31605</v>
      </c>
      <c r="AJ71" s="0" t="s">
        <v>51</v>
      </c>
      <c r="AK71" s="1" t="s">
        <v>6</v>
      </c>
      <c r="AL71" s="0" t="s">
        <v>253</v>
      </c>
      <c r="AM71" s="0" t="s">
        <v>258</v>
      </c>
      <c r="AN71" s="0" t="s">
        <v>254</v>
      </c>
      <c r="AO71" s="0" t="n">
        <v>10.876284</v>
      </c>
      <c r="AP71" s="0" t="n">
        <v>1</v>
      </c>
      <c r="AQ71" s="0" t="n">
        <v>1</v>
      </c>
      <c r="AS71" s="2" t="str">
        <f aca="false">IF(AND(G71="true",J71="true",M71="true",P71="true",S71="true"),"true","false")</f>
        <v>true</v>
      </c>
      <c r="AT71" s="0" t="str">
        <f aca="false">IF(AND(Y71="true",AB71="true",AE71="true",AH71="true",AK71="true"),"true","false")</f>
        <v>false</v>
      </c>
    </row>
    <row r="72" customFormat="false" ht="12.8" hidden="false" customHeight="false" outlineLevel="0" collapsed="false">
      <c r="A72" s="0" t="s">
        <v>375</v>
      </c>
      <c r="B72" s="0" t="s">
        <v>1</v>
      </c>
      <c r="C72" s="0" t="s">
        <v>258</v>
      </c>
      <c r="D72" s="0" t="s">
        <v>254</v>
      </c>
      <c r="E72" s="0" t="n">
        <v>23.278322</v>
      </c>
      <c r="F72" s="0" t="s">
        <v>260</v>
      </c>
      <c r="G72" s="1" t="s">
        <v>5</v>
      </c>
      <c r="H72" s="0" t="n">
        <v>9.487613</v>
      </c>
      <c r="I72" s="0" t="s">
        <v>261</v>
      </c>
      <c r="J72" s="1" t="s">
        <v>5</v>
      </c>
      <c r="K72" s="0" t="n">
        <v>9.732578</v>
      </c>
      <c r="L72" s="0" t="s">
        <v>262</v>
      </c>
      <c r="M72" s="1" t="s">
        <v>5</v>
      </c>
      <c r="N72" s="0" t="n">
        <v>29.008584</v>
      </c>
      <c r="O72" s="0" t="s">
        <v>224</v>
      </c>
      <c r="P72" s="1" t="s">
        <v>5</v>
      </c>
      <c r="Q72" s="0" t="n">
        <v>23.059115</v>
      </c>
      <c r="R72" s="0" t="s">
        <v>15</v>
      </c>
      <c r="S72" s="1" t="s">
        <v>6</v>
      </c>
      <c r="T72" s="0" t="s">
        <v>10</v>
      </c>
      <c r="U72" s="0" t="s">
        <v>253</v>
      </c>
      <c r="V72" s="0" t="s">
        <v>254</v>
      </c>
      <c r="W72" s="0" t="n">
        <v>23.00962</v>
      </c>
      <c r="X72" s="0" t="s">
        <v>255</v>
      </c>
      <c r="Y72" s="1" t="s">
        <v>5</v>
      </c>
      <c r="Z72" s="0" t="n">
        <v>17.635687</v>
      </c>
      <c r="AA72" s="0" t="s">
        <v>264</v>
      </c>
      <c r="AB72" s="1" t="s">
        <v>6</v>
      </c>
      <c r="AC72" s="0" t="n">
        <v>6.128255</v>
      </c>
      <c r="AD72" s="0" t="s">
        <v>256</v>
      </c>
      <c r="AE72" s="1" t="s">
        <v>5</v>
      </c>
      <c r="AF72" s="0" t="n">
        <v>147.655795</v>
      </c>
      <c r="AG72" s="0" t="s">
        <v>151</v>
      </c>
      <c r="AH72" s="1" t="s">
        <v>6</v>
      </c>
      <c r="AI72" s="0" t="n">
        <v>16.114161</v>
      </c>
      <c r="AJ72" s="0" t="s">
        <v>9</v>
      </c>
      <c r="AK72" s="1" t="s">
        <v>5</v>
      </c>
      <c r="AL72" s="0" t="s">
        <v>258</v>
      </c>
      <c r="AM72" s="0" t="s">
        <v>253</v>
      </c>
      <c r="AN72" s="0" t="s">
        <v>254</v>
      </c>
      <c r="AO72" s="0" t="n">
        <v>45.527137</v>
      </c>
      <c r="AP72" s="0" t="n">
        <v>1</v>
      </c>
      <c r="AQ72" s="0" t="n">
        <v>0</v>
      </c>
      <c r="AS72" s="2" t="str">
        <f aca="false">IF(AND(G72="true",J72="true",M72="true",P72="true",S72="true"),"true","false")</f>
        <v>false</v>
      </c>
      <c r="AT72" s="0" t="str">
        <f aca="false">IF(AND(Y72="true",AB72="true",AE72="true",AH72="true",AK72="true"),"true","false")</f>
        <v>false</v>
      </c>
    </row>
    <row r="73" customFormat="false" ht="12.8" hidden="false" customHeight="false" outlineLevel="0" collapsed="false">
      <c r="A73" s="0" t="s">
        <v>376</v>
      </c>
      <c r="B73" s="0" t="s">
        <v>1</v>
      </c>
      <c r="C73" s="0" t="s">
        <v>258</v>
      </c>
      <c r="D73" s="0" t="s">
        <v>254</v>
      </c>
      <c r="E73" s="0" t="n">
        <v>59.16197</v>
      </c>
      <c r="F73" s="0" t="s">
        <v>260</v>
      </c>
      <c r="G73" s="1" t="s">
        <v>5</v>
      </c>
      <c r="H73" s="0" t="n">
        <v>9.688844</v>
      </c>
      <c r="I73" s="0" t="s">
        <v>261</v>
      </c>
      <c r="J73" s="1" t="s">
        <v>5</v>
      </c>
      <c r="K73" s="0" t="n">
        <v>4.73184</v>
      </c>
      <c r="L73" s="0" t="s">
        <v>262</v>
      </c>
      <c r="M73" s="1" t="s">
        <v>5</v>
      </c>
      <c r="N73" s="0" t="n">
        <v>19.840166</v>
      </c>
      <c r="O73" s="0" t="s">
        <v>224</v>
      </c>
      <c r="P73" s="1" t="s">
        <v>5</v>
      </c>
      <c r="Q73" s="0" t="n">
        <v>5.907773</v>
      </c>
      <c r="R73" s="0" t="s">
        <v>9</v>
      </c>
      <c r="S73" s="1" t="s">
        <v>6</v>
      </c>
      <c r="T73" s="0" t="s">
        <v>10</v>
      </c>
      <c r="U73" s="0" t="s">
        <v>253</v>
      </c>
      <c r="V73" s="0" t="s">
        <v>254</v>
      </c>
      <c r="W73" s="0" t="n">
        <v>12.89183</v>
      </c>
      <c r="X73" s="0" t="s">
        <v>264</v>
      </c>
      <c r="Y73" s="1" t="s">
        <v>6</v>
      </c>
      <c r="Z73" s="0" t="n">
        <v>14.831736</v>
      </c>
      <c r="AB73" s="1" t="s">
        <v>6</v>
      </c>
      <c r="AC73" s="0" t="n">
        <v>13.839524</v>
      </c>
      <c r="AE73" s="1" t="s">
        <v>6</v>
      </c>
      <c r="AF73" s="0" t="n">
        <v>11.65127</v>
      </c>
      <c r="AG73" s="0" t="s">
        <v>276</v>
      </c>
      <c r="AH73" s="1" t="s">
        <v>6</v>
      </c>
      <c r="AI73" s="0" t="n">
        <v>17.423629</v>
      </c>
      <c r="AJ73" s="0" t="s">
        <v>51</v>
      </c>
      <c r="AK73" s="1" t="s">
        <v>6</v>
      </c>
      <c r="AL73" s="0" t="s">
        <v>258</v>
      </c>
      <c r="AM73" s="0" t="s">
        <v>253</v>
      </c>
      <c r="AN73" s="0" t="s">
        <v>254</v>
      </c>
      <c r="AO73" s="0" t="n">
        <v>6.680241</v>
      </c>
      <c r="AP73" s="0" t="n">
        <v>-1</v>
      </c>
      <c r="AQ73" s="0" t="n">
        <v>-1</v>
      </c>
      <c r="AS73" s="2" t="str">
        <f aca="false">IF(AND(G73="true",J73="true",M73="true",P73="true",S73="true"),"true","false")</f>
        <v>false</v>
      </c>
      <c r="AT73" s="0" t="str">
        <f aca="false">IF(AND(Y73="true",AB73="true",AE73="true",AH73="true",AK73="true"),"true","false")</f>
        <v>false</v>
      </c>
    </row>
    <row r="74" customFormat="false" ht="12.8" hidden="false" customHeight="false" outlineLevel="0" collapsed="false">
      <c r="A74" s="0" t="s">
        <v>377</v>
      </c>
      <c r="B74" s="0" t="s">
        <v>1</v>
      </c>
      <c r="C74" s="0" t="s">
        <v>258</v>
      </c>
      <c r="D74" s="0" t="s">
        <v>254</v>
      </c>
      <c r="E74" s="0" t="n">
        <v>26.614796</v>
      </c>
      <c r="F74" s="0" t="s">
        <v>261</v>
      </c>
      <c r="G74" s="1" t="s">
        <v>6</v>
      </c>
      <c r="H74" s="0" t="n">
        <v>10.637725</v>
      </c>
      <c r="I74" s="0" t="s">
        <v>262</v>
      </c>
      <c r="J74" s="1" t="s">
        <v>6</v>
      </c>
      <c r="K74" s="0" t="n">
        <v>21.103483</v>
      </c>
      <c r="L74" s="0" t="s">
        <v>262</v>
      </c>
      <c r="M74" s="1" t="s">
        <v>5</v>
      </c>
      <c r="N74" s="0" t="n">
        <v>31.888489</v>
      </c>
      <c r="O74" s="0" t="s">
        <v>224</v>
      </c>
      <c r="P74" s="1" t="s">
        <v>5</v>
      </c>
      <c r="Q74" s="0" t="n">
        <v>28.941593</v>
      </c>
      <c r="R74" s="0" t="s">
        <v>15</v>
      </c>
      <c r="S74" s="1" t="s">
        <v>6</v>
      </c>
      <c r="T74" s="0" t="s">
        <v>10</v>
      </c>
      <c r="U74" s="0" t="s">
        <v>253</v>
      </c>
      <c r="V74" s="0" t="s">
        <v>254</v>
      </c>
      <c r="W74" s="0" t="n">
        <v>99.445253</v>
      </c>
      <c r="Y74" s="1" t="s">
        <v>6</v>
      </c>
      <c r="Z74" s="0" t="n">
        <v>0.714256</v>
      </c>
      <c r="AB74" s="1" t="s">
        <v>6</v>
      </c>
      <c r="AC74" s="0" t="n">
        <v>0.565591</v>
      </c>
      <c r="AE74" s="1" t="s">
        <v>6</v>
      </c>
      <c r="AF74" s="0" t="n">
        <v>0.80077</v>
      </c>
      <c r="AH74" s="1" t="s">
        <v>6</v>
      </c>
      <c r="AI74" s="0" t="n">
        <v>1.195463</v>
      </c>
      <c r="AK74" s="1" t="s">
        <v>6</v>
      </c>
      <c r="AL74" s="0" t="s">
        <v>258</v>
      </c>
      <c r="AM74" s="0" t="s">
        <v>253</v>
      </c>
      <c r="AN74" s="0" t="s">
        <v>254</v>
      </c>
      <c r="AO74" s="0" t="n">
        <v>3.19664</v>
      </c>
      <c r="AS74" s="2" t="str">
        <f aca="false">IF(AND(G74="true",J74="true",M74="true",P74="true",S74="true"),"true","false")</f>
        <v>false</v>
      </c>
      <c r="AT74" s="0" t="str">
        <f aca="false">IF(AND(Y74="true",AB74="true",AE74="true",AH74="true",AK74="true"),"true","false")</f>
        <v>false</v>
      </c>
    </row>
    <row r="75" customFormat="false" ht="12.8" hidden="false" customHeight="false" outlineLevel="0" collapsed="false">
      <c r="A75" s="0" t="s">
        <v>378</v>
      </c>
      <c r="B75" s="0" t="s">
        <v>1</v>
      </c>
      <c r="C75" s="0" t="s">
        <v>258</v>
      </c>
      <c r="D75" s="0" t="s">
        <v>254</v>
      </c>
      <c r="E75" s="0" t="n">
        <v>27.875214</v>
      </c>
      <c r="F75" s="0" t="s">
        <v>260</v>
      </c>
      <c r="G75" s="1" t="s">
        <v>5</v>
      </c>
      <c r="H75" s="0" t="n">
        <v>11.819795</v>
      </c>
      <c r="I75" s="0" t="s">
        <v>261</v>
      </c>
      <c r="J75" s="1" t="s">
        <v>5</v>
      </c>
      <c r="K75" s="0" t="n">
        <v>4.17143</v>
      </c>
      <c r="L75" s="0" t="s">
        <v>262</v>
      </c>
      <c r="M75" s="1" t="s">
        <v>5</v>
      </c>
      <c r="N75" s="0" t="n">
        <v>19.533809</v>
      </c>
      <c r="O75" s="0" t="s">
        <v>224</v>
      </c>
      <c r="P75" s="1" t="s">
        <v>5</v>
      </c>
      <c r="Q75" s="0" t="n">
        <v>9.918746</v>
      </c>
      <c r="R75" s="0" t="s">
        <v>9</v>
      </c>
      <c r="S75" s="1" t="s">
        <v>6</v>
      </c>
      <c r="T75" s="0" t="s">
        <v>10</v>
      </c>
      <c r="U75" s="0" t="s">
        <v>253</v>
      </c>
      <c r="V75" s="0" t="s">
        <v>254</v>
      </c>
      <c r="W75" s="0" t="n">
        <v>12.558346</v>
      </c>
      <c r="X75" s="0" t="s">
        <v>255</v>
      </c>
      <c r="Y75" s="1" t="s">
        <v>5</v>
      </c>
      <c r="Z75" s="0" t="n">
        <v>11.907091</v>
      </c>
      <c r="AA75" s="0" t="s">
        <v>255</v>
      </c>
      <c r="AB75" s="1" t="s">
        <v>5</v>
      </c>
      <c r="AC75" s="0" t="n">
        <v>8.118758</v>
      </c>
      <c r="AD75" s="0" t="s">
        <v>256</v>
      </c>
      <c r="AE75" s="1" t="s">
        <v>5</v>
      </c>
      <c r="AF75" s="0" t="n">
        <v>23.59324</v>
      </c>
      <c r="AG75" s="0" t="s">
        <v>257</v>
      </c>
      <c r="AH75" s="1" t="s">
        <v>5</v>
      </c>
      <c r="AI75" s="0" t="n">
        <v>21.396891</v>
      </c>
      <c r="AJ75" s="0" t="s">
        <v>15</v>
      </c>
      <c r="AK75" s="1" t="s">
        <v>6</v>
      </c>
      <c r="AL75" s="0" t="s">
        <v>258</v>
      </c>
      <c r="AM75" s="0" t="s">
        <v>253</v>
      </c>
      <c r="AN75" s="0" t="s">
        <v>254</v>
      </c>
      <c r="AO75" s="0" t="n">
        <v>10.028784</v>
      </c>
      <c r="AP75" s="0" t="n">
        <v>1</v>
      </c>
      <c r="AQ75" s="0" t="n">
        <v>0</v>
      </c>
      <c r="AS75" s="2" t="str">
        <f aca="false">IF(AND(G75="true",J75="true",M75="true",P75="true",S75="true"),"true","false")</f>
        <v>false</v>
      </c>
      <c r="AT75" s="0" t="str">
        <f aca="false">IF(AND(Y75="true",AB75="true",AE75="true",AH75="true",AK75="true"),"true","false")</f>
        <v>false</v>
      </c>
    </row>
    <row r="76" customFormat="false" ht="12.8" hidden="false" customHeight="false" outlineLevel="0" collapsed="false">
      <c r="A76" s="0" t="s">
        <v>379</v>
      </c>
      <c r="B76" s="0" t="s">
        <v>1</v>
      </c>
      <c r="C76" s="0" t="s">
        <v>253</v>
      </c>
      <c r="D76" s="0" t="s">
        <v>254</v>
      </c>
      <c r="E76" s="0" t="n">
        <v>14.795846</v>
      </c>
      <c r="F76" s="0" t="s">
        <v>256</v>
      </c>
      <c r="G76" s="1" t="s">
        <v>6</v>
      </c>
      <c r="H76" s="0" t="n">
        <v>17.012792</v>
      </c>
      <c r="I76" s="0" t="s">
        <v>380</v>
      </c>
      <c r="J76" s="1" t="s">
        <v>6</v>
      </c>
      <c r="K76" s="0" t="n">
        <v>12.526986</v>
      </c>
      <c r="L76" s="0" t="s">
        <v>256</v>
      </c>
      <c r="M76" s="1" t="s">
        <v>5</v>
      </c>
      <c r="N76" s="0" t="n">
        <v>12.141882</v>
      </c>
      <c r="O76" s="0" t="s">
        <v>276</v>
      </c>
      <c r="P76" s="1" t="s">
        <v>6</v>
      </c>
      <c r="Q76" s="0" t="n">
        <v>11.642998</v>
      </c>
      <c r="R76" s="0" t="s">
        <v>51</v>
      </c>
      <c r="S76" s="1" t="s">
        <v>5</v>
      </c>
      <c r="T76" s="0" t="s">
        <v>10</v>
      </c>
      <c r="U76" s="0" t="s">
        <v>258</v>
      </c>
      <c r="V76" s="0" t="s">
        <v>254</v>
      </c>
      <c r="W76" s="0" t="n">
        <v>24.984802</v>
      </c>
      <c r="X76" s="0" t="s">
        <v>331</v>
      </c>
      <c r="Y76" s="1" t="s">
        <v>6</v>
      </c>
      <c r="Z76" s="0" t="n">
        <v>19.040464</v>
      </c>
      <c r="AA76" s="0" t="s">
        <v>331</v>
      </c>
      <c r="AB76" s="1" t="s">
        <v>6</v>
      </c>
      <c r="AC76" s="0" t="n">
        <v>15.009716</v>
      </c>
      <c r="AD76" s="0" t="s">
        <v>261</v>
      </c>
      <c r="AE76" s="1" t="s">
        <v>6</v>
      </c>
      <c r="AF76" s="0" t="n">
        <v>11.544377</v>
      </c>
      <c r="AG76" s="0" t="s">
        <v>65</v>
      </c>
      <c r="AH76" s="1" t="s">
        <v>6</v>
      </c>
      <c r="AI76" s="0" t="n">
        <v>8.16197</v>
      </c>
      <c r="AJ76" s="0" t="s">
        <v>9</v>
      </c>
      <c r="AK76" s="1" t="s">
        <v>5</v>
      </c>
      <c r="AL76" s="0" t="s">
        <v>253</v>
      </c>
      <c r="AM76" s="0" t="s">
        <v>258</v>
      </c>
      <c r="AN76" s="0" t="s">
        <v>254</v>
      </c>
      <c r="AO76" s="0" t="n">
        <v>5.619869</v>
      </c>
      <c r="AP76" s="0" t="n">
        <v>1</v>
      </c>
      <c r="AQ76" s="0" t="n">
        <v>-1</v>
      </c>
      <c r="AS76" s="2" t="str">
        <f aca="false">IF(AND(G76="true",J76="true",M76="true",P76="true",S76="true"),"true","false")</f>
        <v>false</v>
      </c>
      <c r="AT76" s="0" t="str">
        <f aca="false">IF(AND(Y76="true",AB76="true",AE76="true",AH76="true",AK76="true"),"true","false")</f>
        <v>false</v>
      </c>
    </row>
    <row r="77" customFormat="false" ht="12.8" hidden="false" customHeight="false" outlineLevel="0" collapsed="false">
      <c r="A77" s="0" t="s">
        <v>381</v>
      </c>
      <c r="B77" s="0" t="s">
        <v>1</v>
      </c>
      <c r="C77" s="0" t="s">
        <v>253</v>
      </c>
      <c r="D77" s="0" t="s">
        <v>254</v>
      </c>
      <c r="E77" s="0" t="n">
        <v>25.111005</v>
      </c>
      <c r="F77" s="0" t="s">
        <v>255</v>
      </c>
      <c r="G77" s="1" t="s">
        <v>5</v>
      </c>
      <c r="H77" s="0" t="n">
        <v>27.276856</v>
      </c>
      <c r="I77" s="0" t="s">
        <v>255</v>
      </c>
      <c r="J77" s="1" t="s">
        <v>5</v>
      </c>
      <c r="K77" s="0" t="n">
        <v>9.851506</v>
      </c>
      <c r="L77" s="0" t="s">
        <v>256</v>
      </c>
      <c r="M77" s="1" t="s">
        <v>5</v>
      </c>
      <c r="N77" s="0" t="n">
        <v>21.808955</v>
      </c>
      <c r="O77" s="0" t="s">
        <v>257</v>
      </c>
      <c r="P77" s="1" t="s">
        <v>5</v>
      </c>
      <c r="Q77" s="0" t="n">
        <v>26.441152</v>
      </c>
      <c r="R77" s="0" t="s">
        <v>9</v>
      </c>
      <c r="S77" s="1" t="s">
        <v>6</v>
      </c>
      <c r="T77" s="0" t="s">
        <v>10</v>
      </c>
      <c r="U77" s="0" t="s">
        <v>258</v>
      </c>
      <c r="V77" s="0" t="s">
        <v>254</v>
      </c>
      <c r="W77" s="0" t="n">
        <v>58.435578</v>
      </c>
      <c r="X77" s="0" t="s">
        <v>260</v>
      </c>
      <c r="Y77" s="1" t="s">
        <v>5</v>
      </c>
      <c r="Z77" s="0" t="n">
        <v>14.286768</v>
      </c>
      <c r="AA77" s="0" t="s">
        <v>261</v>
      </c>
      <c r="AB77" s="1" t="s">
        <v>5</v>
      </c>
      <c r="AC77" s="0" t="n">
        <v>7.911721</v>
      </c>
      <c r="AD77" s="0" t="s">
        <v>262</v>
      </c>
      <c r="AE77" s="1" t="s">
        <v>5</v>
      </c>
      <c r="AF77" s="0" t="n">
        <v>29.185537</v>
      </c>
      <c r="AG77" s="0" t="s">
        <v>224</v>
      </c>
      <c r="AH77" s="1" t="s">
        <v>5</v>
      </c>
      <c r="AI77" s="0" t="n">
        <v>7.86864</v>
      </c>
      <c r="AJ77" s="0" t="s">
        <v>9</v>
      </c>
      <c r="AK77" s="1" t="s">
        <v>5</v>
      </c>
      <c r="AL77" s="0" t="s">
        <v>253</v>
      </c>
      <c r="AM77" s="0" t="s">
        <v>258</v>
      </c>
      <c r="AN77" s="0" t="s">
        <v>254</v>
      </c>
      <c r="AO77" s="0" t="n">
        <v>42.744288</v>
      </c>
      <c r="AP77" s="0" t="n">
        <v>0</v>
      </c>
      <c r="AQ77" s="0" t="n">
        <v>2</v>
      </c>
      <c r="AR77" s="0" t="s">
        <v>382</v>
      </c>
      <c r="AS77" s="2" t="str">
        <f aca="false">IF(AND(G77="true",J77="true",M77="true",P77="true",S77="true"),"true","false")</f>
        <v>false</v>
      </c>
      <c r="AT77" s="0" t="str">
        <f aca="false">IF(AND(Y77="true",AB77="true",AE77="true",AH77="true",AK77="true"),"true","false")</f>
        <v>true</v>
      </c>
    </row>
    <row r="78" customFormat="false" ht="12.8" hidden="false" customHeight="false" outlineLevel="0" collapsed="false">
      <c r="A78" s="0" t="s">
        <v>383</v>
      </c>
      <c r="B78" s="0" t="s">
        <v>1</v>
      </c>
      <c r="C78" s="0" t="s">
        <v>258</v>
      </c>
      <c r="D78" s="0" t="s">
        <v>254</v>
      </c>
      <c r="E78" s="0" t="n">
        <v>15.238402</v>
      </c>
      <c r="F78" s="0" t="s">
        <v>260</v>
      </c>
      <c r="G78" s="1" t="s">
        <v>5</v>
      </c>
      <c r="H78" s="0" t="n">
        <v>10.365072</v>
      </c>
      <c r="I78" s="0" t="s">
        <v>261</v>
      </c>
      <c r="J78" s="1" t="s">
        <v>5</v>
      </c>
      <c r="K78" s="0" t="n">
        <v>6.120241</v>
      </c>
      <c r="L78" s="0" t="s">
        <v>262</v>
      </c>
      <c r="M78" s="1" t="s">
        <v>5</v>
      </c>
      <c r="N78" s="0" t="n">
        <v>19.356819</v>
      </c>
      <c r="O78" s="0" t="s">
        <v>224</v>
      </c>
      <c r="P78" s="1" t="s">
        <v>5</v>
      </c>
      <c r="Q78" s="0" t="n">
        <v>17.418169</v>
      </c>
      <c r="R78" s="0" t="s">
        <v>9</v>
      </c>
      <c r="S78" s="1" t="s">
        <v>6</v>
      </c>
      <c r="T78" s="0" t="s">
        <v>10</v>
      </c>
      <c r="U78" s="0" t="s">
        <v>253</v>
      </c>
      <c r="V78" s="0" t="s">
        <v>254</v>
      </c>
      <c r="W78" s="0" t="n">
        <v>14.19097</v>
      </c>
      <c r="X78" s="0" t="s">
        <v>284</v>
      </c>
      <c r="Y78" s="1" t="s">
        <v>6</v>
      </c>
      <c r="Z78" s="0" t="n">
        <v>19.57048</v>
      </c>
      <c r="AA78" s="0" t="s">
        <v>255</v>
      </c>
      <c r="AB78" s="1" t="s">
        <v>5</v>
      </c>
      <c r="AC78" s="0" t="n">
        <v>6.147481</v>
      </c>
      <c r="AD78" s="0" t="s">
        <v>256</v>
      </c>
      <c r="AE78" s="1" t="s">
        <v>5</v>
      </c>
      <c r="AF78" s="0" t="n">
        <v>20.36418</v>
      </c>
      <c r="AG78" s="0" t="s">
        <v>384</v>
      </c>
      <c r="AH78" s="1" t="s">
        <v>6</v>
      </c>
      <c r="AI78" s="0" t="n">
        <v>29.299862</v>
      </c>
      <c r="AJ78" s="0" t="s">
        <v>51</v>
      </c>
      <c r="AK78" s="1" t="s">
        <v>6</v>
      </c>
      <c r="AL78" s="0" t="s">
        <v>258</v>
      </c>
      <c r="AM78" s="0" t="s">
        <v>253</v>
      </c>
      <c r="AN78" s="0" t="s">
        <v>254</v>
      </c>
      <c r="AO78" s="0" t="n">
        <v>12.494819</v>
      </c>
      <c r="AP78" s="0" t="n">
        <v>0</v>
      </c>
      <c r="AQ78" s="0" t="n">
        <v>1</v>
      </c>
      <c r="AS78" s="2" t="str">
        <f aca="false">IF(AND(G78="true",J78="true",M78="true",P78="true",S78="true"),"true","false")</f>
        <v>false</v>
      </c>
      <c r="AT78" s="0" t="str">
        <f aca="false">IF(AND(Y78="true",AB78="true",AE78="true",AH78="true",AK78="true"),"true","false")</f>
        <v>false</v>
      </c>
    </row>
    <row r="79" customFormat="false" ht="12.8" hidden="false" customHeight="false" outlineLevel="0" collapsed="false">
      <c r="A79" s="0" t="s">
        <v>385</v>
      </c>
      <c r="B79" s="0" t="s">
        <v>1</v>
      </c>
      <c r="C79" s="0" t="s">
        <v>253</v>
      </c>
      <c r="D79" s="0" t="s">
        <v>254</v>
      </c>
      <c r="E79" s="0" t="n">
        <v>19.052237</v>
      </c>
      <c r="F79" s="0" t="s">
        <v>255</v>
      </c>
      <c r="G79" s="1" t="s">
        <v>5</v>
      </c>
      <c r="H79" s="0" t="n">
        <v>17.23539</v>
      </c>
      <c r="I79" s="0" t="s">
        <v>255</v>
      </c>
      <c r="J79" s="1" t="s">
        <v>5</v>
      </c>
      <c r="K79" s="0" t="n">
        <v>4.87919</v>
      </c>
      <c r="L79" s="0" t="s">
        <v>256</v>
      </c>
      <c r="M79" s="1" t="s">
        <v>5</v>
      </c>
      <c r="N79" s="0" t="n">
        <v>16.946449</v>
      </c>
      <c r="O79" s="0" t="s">
        <v>276</v>
      </c>
      <c r="P79" s="1" t="s">
        <v>6</v>
      </c>
      <c r="Q79" s="0" t="n">
        <v>18.007045</v>
      </c>
      <c r="R79" s="0" t="s">
        <v>9</v>
      </c>
      <c r="S79" s="1" t="s">
        <v>6</v>
      </c>
      <c r="T79" s="0" t="s">
        <v>10</v>
      </c>
      <c r="U79" s="0" t="s">
        <v>258</v>
      </c>
      <c r="V79" s="0" t="s">
        <v>254</v>
      </c>
      <c r="W79" s="0" t="n">
        <v>29.2825</v>
      </c>
      <c r="X79" s="0" t="s">
        <v>260</v>
      </c>
      <c r="Y79" s="1" t="s">
        <v>5</v>
      </c>
      <c r="Z79" s="0" t="n">
        <v>10.892964</v>
      </c>
      <c r="AA79" s="0" t="s">
        <v>262</v>
      </c>
      <c r="AB79" s="1" t="s">
        <v>6</v>
      </c>
      <c r="AC79" s="0" t="n">
        <v>13.678552</v>
      </c>
      <c r="AD79" s="0" t="s">
        <v>261</v>
      </c>
      <c r="AE79" s="1" t="s">
        <v>6</v>
      </c>
      <c r="AF79" s="0" t="n">
        <v>25.569023</v>
      </c>
      <c r="AG79" s="0" t="s">
        <v>224</v>
      </c>
      <c r="AH79" s="1" t="s">
        <v>5</v>
      </c>
      <c r="AI79" s="0" t="n">
        <v>33.903124</v>
      </c>
      <c r="AJ79" s="0" t="s">
        <v>15</v>
      </c>
      <c r="AK79" s="1" t="s">
        <v>6</v>
      </c>
      <c r="AL79" s="0" t="s">
        <v>253</v>
      </c>
      <c r="AM79" s="0" t="s">
        <v>258</v>
      </c>
      <c r="AN79" s="0" t="s">
        <v>254</v>
      </c>
      <c r="AO79" s="0" t="n">
        <v>10.387223</v>
      </c>
      <c r="AP79" s="0" t="n">
        <v>1</v>
      </c>
      <c r="AQ79" s="0" t="n">
        <v>1</v>
      </c>
      <c r="AS79" s="2" t="str">
        <f aca="false">IF(AND(G79="true",J79="true",M79="true",P79="true",S79="true"),"true","false")</f>
        <v>false</v>
      </c>
      <c r="AT79" s="0" t="str">
        <f aca="false">IF(AND(Y79="true",AB79="true",AE79="true",AH79="true",AK79="true"),"true","false")</f>
        <v>false</v>
      </c>
    </row>
    <row r="80" customFormat="false" ht="12.8" hidden="false" customHeight="false" outlineLevel="0" collapsed="false">
      <c r="A80" s="0" t="s">
        <v>386</v>
      </c>
      <c r="B80" s="0" t="s">
        <v>1</v>
      </c>
      <c r="C80" s="0" t="s">
        <v>253</v>
      </c>
      <c r="D80" s="0" t="s">
        <v>254</v>
      </c>
      <c r="E80" s="0" t="n">
        <v>19.481301</v>
      </c>
      <c r="F80" s="0" t="s">
        <v>255</v>
      </c>
      <c r="G80" s="1" t="s">
        <v>5</v>
      </c>
      <c r="H80" s="0" t="n">
        <v>12.364858</v>
      </c>
      <c r="I80" s="0" t="s">
        <v>255</v>
      </c>
      <c r="J80" s="1" t="s">
        <v>5</v>
      </c>
      <c r="K80" s="0" t="n">
        <v>5.390521</v>
      </c>
      <c r="L80" s="0" t="s">
        <v>256</v>
      </c>
      <c r="M80" s="1" t="s">
        <v>5</v>
      </c>
      <c r="N80" s="0" t="n">
        <v>19.782269</v>
      </c>
      <c r="O80" s="0" t="s">
        <v>257</v>
      </c>
      <c r="P80" s="1" t="s">
        <v>5</v>
      </c>
      <c r="Q80" s="0" t="n">
        <v>16.805804</v>
      </c>
      <c r="R80" s="0" t="s">
        <v>9</v>
      </c>
      <c r="S80" s="1" t="s">
        <v>6</v>
      </c>
      <c r="T80" s="0" t="s">
        <v>10</v>
      </c>
      <c r="U80" s="0" t="s">
        <v>258</v>
      </c>
      <c r="V80" s="0" t="s">
        <v>254</v>
      </c>
      <c r="W80" s="0" t="n">
        <v>22.698903</v>
      </c>
      <c r="X80" s="0" t="s">
        <v>331</v>
      </c>
      <c r="Y80" s="1" t="s">
        <v>6</v>
      </c>
      <c r="Z80" s="0" t="n">
        <v>21.986665</v>
      </c>
      <c r="AA80" s="0" t="s">
        <v>261</v>
      </c>
      <c r="AB80" s="1" t="s">
        <v>5</v>
      </c>
      <c r="AC80" s="0" t="n">
        <v>4.529929</v>
      </c>
      <c r="AD80" s="0" t="s">
        <v>262</v>
      </c>
      <c r="AE80" s="1" t="s">
        <v>5</v>
      </c>
      <c r="AF80" s="0" t="n">
        <v>19.548318</v>
      </c>
      <c r="AG80" s="0" t="s">
        <v>224</v>
      </c>
      <c r="AH80" s="1" t="s">
        <v>5</v>
      </c>
      <c r="AI80" s="0" t="n">
        <v>10.466231</v>
      </c>
      <c r="AJ80" s="0" t="s">
        <v>9</v>
      </c>
      <c r="AK80" s="1" t="s">
        <v>5</v>
      </c>
      <c r="AL80" s="0" t="s">
        <v>253</v>
      </c>
      <c r="AM80" s="0" t="s">
        <v>258</v>
      </c>
      <c r="AN80" s="0" t="s">
        <v>254</v>
      </c>
      <c r="AO80" s="0" t="n">
        <v>8.158013</v>
      </c>
      <c r="AP80" s="0" t="n">
        <v>2</v>
      </c>
      <c r="AQ80" s="0" t="n">
        <v>0</v>
      </c>
      <c r="AS80" s="2" t="str">
        <f aca="false">IF(AND(G80="true",J80="true",M80="true",P80="true",S80="true"),"true","false")</f>
        <v>false</v>
      </c>
      <c r="AT80" s="0" t="str">
        <f aca="false">IF(AND(Y80="true",AB80="true",AE80="true",AH80="true",AK80="true"),"true","false")</f>
        <v>false</v>
      </c>
    </row>
    <row r="81" customFormat="false" ht="12.8" hidden="false" customHeight="false" outlineLevel="0" collapsed="false">
      <c r="A81" s="0" t="s">
        <v>387</v>
      </c>
      <c r="B81" s="0" t="s">
        <v>1</v>
      </c>
      <c r="C81" s="0" t="s">
        <v>253</v>
      </c>
      <c r="D81" s="0" t="s">
        <v>254</v>
      </c>
      <c r="E81" s="0" t="n">
        <v>26.815808</v>
      </c>
      <c r="F81" s="0" t="s">
        <v>255</v>
      </c>
      <c r="G81" s="1" t="s">
        <v>5</v>
      </c>
      <c r="H81" s="0" t="n">
        <v>24.918683</v>
      </c>
      <c r="I81" s="0" t="s">
        <v>255</v>
      </c>
      <c r="J81" s="1" t="s">
        <v>5</v>
      </c>
      <c r="K81" s="0" t="n">
        <v>5.280757</v>
      </c>
      <c r="L81" s="0" t="s">
        <v>256</v>
      </c>
      <c r="M81" s="1" t="s">
        <v>5</v>
      </c>
      <c r="N81" s="0" t="n">
        <v>35.423539</v>
      </c>
      <c r="O81" s="0" t="s">
        <v>257</v>
      </c>
      <c r="P81" s="1" t="s">
        <v>5</v>
      </c>
      <c r="Q81" s="0" t="n">
        <v>9.765579</v>
      </c>
      <c r="R81" s="0" t="s">
        <v>51</v>
      </c>
      <c r="S81" s="1" t="s">
        <v>5</v>
      </c>
      <c r="T81" s="0" t="s">
        <v>10</v>
      </c>
      <c r="U81" s="0" t="s">
        <v>258</v>
      </c>
      <c r="V81" s="0" t="s">
        <v>254</v>
      </c>
      <c r="W81" s="0" t="n">
        <v>14.72541</v>
      </c>
      <c r="X81" s="0" t="s">
        <v>260</v>
      </c>
      <c r="Y81" s="1" t="s">
        <v>5</v>
      </c>
      <c r="Z81" s="0" t="n">
        <v>12.459986</v>
      </c>
      <c r="AA81" s="0" t="s">
        <v>261</v>
      </c>
      <c r="AB81" s="1" t="s">
        <v>5</v>
      </c>
      <c r="AC81" s="0" t="n">
        <v>7.250605</v>
      </c>
      <c r="AD81" s="0" t="s">
        <v>262</v>
      </c>
      <c r="AE81" s="1" t="s">
        <v>5</v>
      </c>
      <c r="AF81" s="0" t="n">
        <v>33.232002</v>
      </c>
      <c r="AG81" s="0" t="s">
        <v>224</v>
      </c>
      <c r="AH81" s="1" t="s">
        <v>5</v>
      </c>
      <c r="AI81" s="0" t="n">
        <v>11.73396</v>
      </c>
      <c r="AJ81" s="0" t="s">
        <v>9</v>
      </c>
      <c r="AK81" s="1" t="s">
        <v>5</v>
      </c>
      <c r="AL81" s="0" t="s">
        <v>253</v>
      </c>
      <c r="AM81" s="0" t="s">
        <v>258</v>
      </c>
      <c r="AN81" s="0" t="s">
        <v>254</v>
      </c>
      <c r="AO81" s="0" t="n">
        <v>6.800016</v>
      </c>
      <c r="AP81" s="0" t="n">
        <v>0</v>
      </c>
      <c r="AQ81" s="0" t="n">
        <v>1</v>
      </c>
      <c r="AS81" s="2" t="str">
        <f aca="false">IF(AND(G81="true",J81="true",M81="true",P81="true",S81="true"),"true","false")</f>
        <v>true</v>
      </c>
      <c r="AT81" s="0" t="str">
        <f aca="false">IF(AND(Y81="true",AB81="true",AE81="true",AH81="true",AK81="true"),"true","false")</f>
        <v>true</v>
      </c>
    </row>
    <row r="82" customFormat="false" ht="12.8" hidden="false" customHeight="false" outlineLevel="0" collapsed="false">
      <c r="A82" s="0" t="s">
        <v>388</v>
      </c>
      <c r="B82" s="0" t="s">
        <v>1</v>
      </c>
      <c r="C82" s="0" t="s">
        <v>258</v>
      </c>
      <c r="D82" s="0" t="s">
        <v>254</v>
      </c>
      <c r="E82" s="0" t="n">
        <v>21.974389</v>
      </c>
      <c r="F82" s="0" t="s">
        <v>260</v>
      </c>
      <c r="G82" s="1" t="s">
        <v>5</v>
      </c>
      <c r="H82" s="0" t="n">
        <v>10.420126</v>
      </c>
      <c r="I82" s="0" t="s">
        <v>261</v>
      </c>
      <c r="J82" s="1" t="s">
        <v>5</v>
      </c>
      <c r="K82" s="0" t="n">
        <v>5.242029</v>
      </c>
      <c r="L82" s="0" t="s">
        <v>262</v>
      </c>
      <c r="M82" s="1" t="s">
        <v>5</v>
      </c>
      <c r="N82" s="0" t="n">
        <v>18.841684</v>
      </c>
      <c r="P82" s="1" t="s">
        <v>6</v>
      </c>
      <c r="Q82" s="0" t="n">
        <v>11.592578</v>
      </c>
      <c r="R82" s="0" t="s">
        <v>9</v>
      </c>
      <c r="S82" s="1" t="s">
        <v>6</v>
      </c>
      <c r="T82" s="0" t="s">
        <v>10</v>
      </c>
      <c r="U82" s="0" t="s">
        <v>253</v>
      </c>
      <c r="V82" s="0" t="s">
        <v>254</v>
      </c>
      <c r="W82" s="0" t="n">
        <v>40.342768</v>
      </c>
      <c r="X82" s="0" t="s">
        <v>344</v>
      </c>
      <c r="Y82" s="1" t="s">
        <v>6</v>
      </c>
      <c r="Z82" s="0" t="n">
        <v>47.354078</v>
      </c>
      <c r="AA82" s="0" t="s">
        <v>326</v>
      </c>
      <c r="AB82" s="1" t="s">
        <v>6</v>
      </c>
      <c r="AC82" s="0" t="n">
        <v>19.149679</v>
      </c>
      <c r="AE82" s="1" t="s">
        <v>6</v>
      </c>
      <c r="AF82" s="0" t="n">
        <v>23.732211</v>
      </c>
      <c r="AH82" s="1" t="s">
        <v>6</v>
      </c>
      <c r="AI82" s="0" t="n">
        <v>8.132253</v>
      </c>
      <c r="AJ82" s="0" t="s">
        <v>15</v>
      </c>
      <c r="AK82" s="1" t="s">
        <v>6</v>
      </c>
      <c r="AL82" s="0" t="s">
        <v>258</v>
      </c>
      <c r="AM82" s="0" t="s">
        <v>253</v>
      </c>
      <c r="AN82" s="0" t="s">
        <v>254</v>
      </c>
      <c r="AO82" s="0" t="n">
        <v>17.037233</v>
      </c>
      <c r="AP82" s="0" t="n">
        <v>-1</v>
      </c>
      <c r="AQ82" s="0" t="n">
        <v>-2</v>
      </c>
      <c r="AS82" s="2" t="str">
        <f aca="false">IF(AND(G82="true",J82="true",M82="true",P82="true",S82="true"),"true","false")</f>
        <v>false</v>
      </c>
      <c r="AT82" s="0" t="str">
        <f aca="false">IF(AND(Y82="true",AB82="true",AE82="true",AH82="true",AK82="true"),"true","false")</f>
        <v>false</v>
      </c>
    </row>
    <row r="83" customFormat="false" ht="12.8" hidden="false" customHeight="false" outlineLevel="0" collapsed="false">
      <c r="A83" s="0" t="s">
        <v>389</v>
      </c>
      <c r="B83" s="0" t="s">
        <v>1</v>
      </c>
      <c r="C83" s="0" t="s">
        <v>253</v>
      </c>
      <c r="D83" s="0" t="s">
        <v>254</v>
      </c>
      <c r="E83" s="0" t="n">
        <v>17.350894</v>
      </c>
      <c r="F83" s="0" t="s">
        <v>255</v>
      </c>
      <c r="G83" s="1" t="s">
        <v>5</v>
      </c>
      <c r="H83" s="0" t="n">
        <v>17.24976</v>
      </c>
      <c r="I83" s="0" t="s">
        <v>255</v>
      </c>
      <c r="J83" s="1" t="s">
        <v>5</v>
      </c>
      <c r="K83" s="0" t="n">
        <v>7.515497</v>
      </c>
      <c r="L83" s="0" t="s">
        <v>256</v>
      </c>
      <c r="M83" s="1" t="s">
        <v>5</v>
      </c>
      <c r="N83" s="0" t="n">
        <v>15.828311</v>
      </c>
      <c r="O83" s="0" t="s">
        <v>257</v>
      </c>
      <c r="P83" s="1" t="s">
        <v>5</v>
      </c>
      <c r="Q83" s="0" t="n">
        <v>12.863223</v>
      </c>
      <c r="R83" s="0" t="s">
        <v>51</v>
      </c>
      <c r="S83" s="1" t="s">
        <v>5</v>
      </c>
      <c r="T83" s="0" t="s">
        <v>10</v>
      </c>
      <c r="U83" s="0" t="s">
        <v>258</v>
      </c>
      <c r="V83" s="0" t="s">
        <v>254</v>
      </c>
      <c r="W83" s="0" t="n">
        <v>24.243934</v>
      </c>
      <c r="X83" s="0" t="s">
        <v>260</v>
      </c>
      <c r="Y83" s="1" t="s">
        <v>5</v>
      </c>
      <c r="Z83" s="0" t="n">
        <v>10.708142</v>
      </c>
      <c r="AA83" s="0" t="s">
        <v>262</v>
      </c>
      <c r="AB83" s="1" t="s">
        <v>6</v>
      </c>
      <c r="AC83" s="0" t="n">
        <v>6.81164</v>
      </c>
      <c r="AD83" s="0" t="s">
        <v>261</v>
      </c>
      <c r="AE83" s="1" t="s">
        <v>6</v>
      </c>
      <c r="AF83" s="0" t="n">
        <v>14.164497</v>
      </c>
      <c r="AG83" s="0" t="s">
        <v>224</v>
      </c>
      <c r="AH83" s="1" t="s">
        <v>5</v>
      </c>
      <c r="AI83" s="0" t="n">
        <v>9.348032</v>
      </c>
      <c r="AJ83" s="0" t="s">
        <v>9</v>
      </c>
      <c r="AK83" s="1" t="s">
        <v>5</v>
      </c>
      <c r="AL83" s="0" t="s">
        <v>253</v>
      </c>
      <c r="AM83" s="0" t="s">
        <v>258</v>
      </c>
      <c r="AN83" s="0" t="s">
        <v>254</v>
      </c>
      <c r="AO83" s="0" t="n">
        <v>120.671365</v>
      </c>
      <c r="AP83" s="0" t="n">
        <v>-1</v>
      </c>
      <c r="AQ83" s="0" t="n">
        <v>1</v>
      </c>
      <c r="AR83" s="0" t="s">
        <v>390</v>
      </c>
      <c r="AS83" s="2" t="str">
        <f aca="false">IF(AND(G83="true",J83="true",M83="true",P83="true",S83="true"),"true","false")</f>
        <v>true</v>
      </c>
      <c r="AT83" s="0" t="str">
        <f aca="false">IF(AND(Y83="true",AB83="true",AE83="true",AH83="true",AK83="true"),"true","false")</f>
        <v>false</v>
      </c>
    </row>
    <row r="84" customFormat="false" ht="12.8" hidden="false" customHeight="false" outlineLevel="0" collapsed="false">
      <c r="A84" s="0" t="s">
        <v>391</v>
      </c>
      <c r="B84" s="0" t="s">
        <v>1</v>
      </c>
      <c r="C84" s="0" t="s">
        <v>258</v>
      </c>
      <c r="D84" s="0" t="s">
        <v>254</v>
      </c>
      <c r="E84" s="0" t="n">
        <v>28.363844</v>
      </c>
      <c r="F84" s="0" t="s">
        <v>260</v>
      </c>
      <c r="G84" s="1" t="s">
        <v>5</v>
      </c>
      <c r="H84" s="0" t="n">
        <v>13.387579</v>
      </c>
      <c r="I84" s="0" t="s">
        <v>261</v>
      </c>
      <c r="J84" s="1" t="s">
        <v>5</v>
      </c>
      <c r="K84" s="0" t="n">
        <v>10.102665</v>
      </c>
      <c r="L84" s="0" t="s">
        <v>262</v>
      </c>
      <c r="M84" s="1" t="s">
        <v>5</v>
      </c>
      <c r="N84" s="0" t="n">
        <v>25.7153</v>
      </c>
      <c r="O84" s="0" t="s">
        <v>224</v>
      </c>
      <c r="P84" s="1" t="s">
        <v>5</v>
      </c>
      <c r="Q84" s="0" t="n">
        <v>26.422265</v>
      </c>
      <c r="R84" s="0" t="s">
        <v>9</v>
      </c>
      <c r="S84" s="1" t="s">
        <v>6</v>
      </c>
      <c r="T84" s="0" t="s">
        <v>10</v>
      </c>
      <c r="U84" s="0" t="s">
        <v>253</v>
      </c>
      <c r="V84" s="0" t="s">
        <v>254</v>
      </c>
      <c r="W84" s="0" t="n">
        <v>22.701289</v>
      </c>
      <c r="X84" s="0" t="s">
        <v>255</v>
      </c>
      <c r="Y84" s="1" t="s">
        <v>5</v>
      </c>
      <c r="Z84" s="0" t="n">
        <v>26.112668</v>
      </c>
      <c r="AA84" s="0" t="s">
        <v>255</v>
      </c>
      <c r="AB84" s="1" t="s">
        <v>5</v>
      </c>
      <c r="AC84" s="0" t="n">
        <v>9.487657</v>
      </c>
      <c r="AD84" s="0" t="s">
        <v>256</v>
      </c>
      <c r="AE84" s="1" t="s">
        <v>5</v>
      </c>
      <c r="AF84" s="0" t="n">
        <v>33.697126</v>
      </c>
      <c r="AG84" s="0" t="s">
        <v>257</v>
      </c>
      <c r="AH84" s="1" t="s">
        <v>5</v>
      </c>
      <c r="AI84" s="0" t="n">
        <v>20.898723</v>
      </c>
      <c r="AJ84" s="0" t="s">
        <v>9</v>
      </c>
      <c r="AK84" s="1" t="s">
        <v>5</v>
      </c>
      <c r="AL84" s="0" t="s">
        <v>258</v>
      </c>
      <c r="AM84" s="0" t="s">
        <v>253</v>
      </c>
      <c r="AN84" s="0" t="s">
        <v>254</v>
      </c>
      <c r="AO84" s="0" t="n">
        <v>96.985353</v>
      </c>
      <c r="AP84" s="0" t="n">
        <v>1</v>
      </c>
      <c r="AQ84" s="0" t="n">
        <v>2</v>
      </c>
      <c r="AR84" s="0" t="s">
        <v>392</v>
      </c>
      <c r="AS84" s="2" t="str">
        <f aca="false">IF(AND(G84="true",J84="true",M84="true",P84="true",S84="true"),"true","false")</f>
        <v>false</v>
      </c>
      <c r="AT84" s="0" t="str">
        <f aca="false">IF(AND(Y84="true",AB84="true",AE84="true",AH84="true",AK84="true"),"true","false")</f>
        <v>true</v>
      </c>
    </row>
    <row r="85" customFormat="false" ht="12.8" hidden="false" customHeight="false" outlineLevel="0" collapsed="false">
      <c r="A85" s="0" t="s">
        <v>393</v>
      </c>
      <c r="B85" s="0" t="s">
        <v>1</v>
      </c>
      <c r="C85" s="0" t="s">
        <v>258</v>
      </c>
      <c r="D85" s="0" t="s">
        <v>254</v>
      </c>
      <c r="E85" s="0" t="n">
        <v>20.858312</v>
      </c>
      <c r="F85" s="0" t="s">
        <v>260</v>
      </c>
      <c r="G85" s="1" t="s">
        <v>5</v>
      </c>
      <c r="H85" s="0" t="n">
        <v>6.667924</v>
      </c>
      <c r="I85" s="0" t="s">
        <v>261</v>
      </c>
      <c r="J85" s="1" t="s">
        <v>5</v>
      </c>
      <c r="K85" s="0" t="n">
        <v>4.272123</v>
      </c>
      <c r="L85" s="0" t="s">
        <v>262</v>
      </c>
      <c r="M85" s="1" t="s">
        <v>5</v>
      </c>
      <c r="N85" s="0" t="n">
        <v>19.289476</v>
      </c>
      <c r="O85" s="0" t="s">
        <v>224</v>
      </c>
      <c r="P85" s="1" t="s">
        <v>5</v>
      </c>
      <c r="Q85" s="0" t="n">
        <v>10.454741</v>
      </c>
      <c r="R85" s="0" t="s">
        <v>15</v>
      </c>
      <c r="S85" s="1" t="s">
        <v>6</v>
      </c>
      <c r="T85" s="0" t="s">
        <v>10</v>
      </c>
      <c r="U85" s="0" t="s">
        <v>253</v>
      </c>
      <c r="V85" s="0" t="s">
        <v>254</v>
      </c>
      <c r="W85" s="0" t="n">
        <v>21.593769</v>
      </c>
      <c r="X85" s="0" t="s">
        <v>255</v>
      </c>
      <c r="Y85" s="1" t="s">
        <v>5</v>
      </c>
      <c r="Z85" s="0" t="n">
        <v>21.02707</v>
      </c>
      <c r="AA85" s="0" t="s">
        <v>264</v>
      </c>
      <c r="AB85" s="1" t="s">
        <v>6</v>
      </c>
      <c r="AC85" s="0" t="n">
        <v>7.317116</v>
      </c>
      <c r="AD85" s="0" t="s">
        <v>256</v>
      </c>
      <c r="AE85" s="1" t="s">
        <v>5</v>
      </c>
      <c r="AF85" s="0" t="n">
        <v>32.80215</v>
      </c>
      <c r="AG85" s="0" t="s">
        <v>257</v>
      </c>
      <c r="AH85" s="1" t="s">
        <v>5</v>
      </c>
      <c r="AI85" s="0" t="n">
        <v>11.267001</v>
      </c>
      <c r="AJ85" s="0" t="s">
        <v>15</v>
      </c>
      <c r="AK85" s="1" t="s">
        <v>6</v>
      </c>
      <c r="AL85" s="0" t="s">
        <v>258</v>
      </c>
      <c r="AM85" s="0" t="s">
        <v>253</v>
      </c>
      <c r="AN85" s="0" t="s">
        <v>254</v>
      </c>
      <c r="AO85" s="0" t="n">
        <v>4.018577</v>
      </c>
      <c r="AP85" s="0" t="n">
        <v>2</v>
      </c>
      <c r="AQ85" s="0" t="n">
        <v>1</v>
      </c>
      <c r="AS85" s="2" t="str">
        <f aca="false">IF(AND(G85="true",J85="true",M85="true",P85="true",S85="true"),"true","false")</f>
        <v>false</v>
      </c>
      <c r="AT85" s="0" t="str">
        <f aca="false">IF(AND(Y85="true",AB85="true",AE85="true",AH85="true",AK85="true"),"true","false")</f>
        <v>false</v>
      </c>
    </row>
    <row r="86" customFormat="false" ht="12.8" hidden="false" customHeight="false" outlineLevel="0" collapsed="false">
      <c r="A86" s="0" t="s">
        <v>394</v>
      </c>
      <c r="B86" s="0" t="s">
        <v>1</v>
      </c>
      <c r="C86" s="0" t="s">
        <v>258</v>
      </c>
      <c r="D86" s="0" t="s">
        <v>254</v>
      </c>
      <c r="E86" s="0" t="n">
        <v>30.467417</v>
      </c>
      <c r="F86" s="0" t="s">
        <v>260</v>
      </c>
      <c r="G86" s="1" t="s">
        <v>5</v>
      </c>
      <c r="H86" s="0" t="n">
        <v>19.426643</v>
      </c>
      <c r="I86" s="0" t="s">
        <v>261</v>
      </c>
      <c r="J86" s="1" t="s">
        <v>5</v>
      </c>
      <c r="K86" s="0" t="n">
        <v>4.213966</v>
      </c>
      <c r="L86" s="0" t="s">
        <v>262</v>
      </c>
      <c r="M86" s="1" t="s">
        <v>5</v>
      </c>
      <c r="N86" s="0" t="n">
        <v>52.095332</v>
      </c>
      <c r="O86" s="0" t="s">
        <v>224</v>
      </c>
      <c r="P86" s="1" t="s">
        <v>5</v>
      </c>
      <c r="Q86" s="0" t="n">
        <v>27.62883</v>
      </c>
      <c r="R86" s="0" t="s">
        <v>15</v>
      </c>
      <c r="S86" s="1" t="s">
        <v>6</v>
      </c>
      <c r="T86" s="0" t="s">
        <v>10</v>
      </c>
      <c r="U86" s="0" t="s">
        <v>253</v>
      </c>
      <c r="V86" s="0" t="s">
        <v>254</v>
      </c>
      <c r="W86" s="0" t="n">
        <v>104.44801</v>
      </c>
      <c r="Y86" s="1" t="s">
        <v>6</v>
      </c>
      <c r="Z86" s="0" t="n">
        <v>0.571606</v>
      </c>
      <c r="AB86" s="1" t="s">
        <v>6</v>
      </c>
      <c r="AC86" s="0" t="n">
        <v>0.303079</v>
      </c>
      <c r="AE86" s="1" t="s">
        <v>6</v>
      </c>
      <c r="AF86" s="0" t="n">
        <v>1.606878</v>
      </c>
      <c r="AH86" s="1" t="s">
        <v>6</v>
      </c>
      <c r="AI86" s="0" t="n">
        <v>1.249247</v>
      </c>
      <c r="AK86" s="1" t="s">
        <v>6</v>
      </c>
      <c r="AL86" s="0" t="s">
        <v>258</v>
      </c>
      <c r="AM86" s="0" t="s">
        <v>253</v>
      </c>
      <c r="AN86" s="0" t="s">
        <v>254</v>
      </c>
      <c r="AO86" s="0" t="n">
        <v>1.922331</v>
      </c>
      <c r="AS86" s="2" t="str">
        <f aca="false">IF(AND(G86="true",J86="true",M86="true",P86="true",S86="true"),"true","false")</f>
        <v>false</v>
      </c>
      <c r="AT86" s="0" t="str">
        <f aca="false">IF(AND(Y86="true",AB86="true",AE86="true",AH86="true",AK86="true"),"true","false")</f>
        <v>false</v>
      </c>
    </row>
    <row r="87" customFormat="false" ht="12.8" hidden="false" customHeight="false" outlineLevel="0" collapsed="false">
      <c r="A87" s="0" t="s">
        <v>395</v>
      </c>
      <c r="B87" s="0" t="s">
        <v>1</v>
      </c>
      <c r="C87" s="0" t="s">
        <v>258</v>
      </c>
      <c r="D87" s="0" t="s">
        <v>254</v>
      </c>
      <c r="E87" s="0" t="n">
        <v>20.764081</v>
      </c>
      <c r="F87" s="0" t="s">
        <v>261</v>
      </c>
      <c r="G87" s="1" t="s">
        <v>6</v>
      </c>
      <c r="H87" s="0" t="n">
        <v>18.304971</v>
      </c>
      <c r="I87" s="0" t="s">
        <v>261</v>
      </c>
      <c r="J87" s="1" t="s">
        <v>5</v>
      </c>
      <c r="K87" s="0" t="n">
        <v>9.586665</v>
      </c>
      <c r="L87" s="0" t="s">
        <v>262</v>
      </c>
      <c r="M87" s="1" t="s">
        <v>5</v>
      </c>
      <c r="N87" s="0" t="n">
        <v>50.44304</v>
      </c>
      <c r="O87" s="0" t="s">
        <v>224</v>
      </c>
      <c r="P87" s="1" t="s">
        <v>5</v>
      </c>
      <c r="Q87" s="0" t="n">
        <v>73.62315</v>
      </c>
      <c r="R87" s="0" t="s">
        <v>9</v>
      </c>
      <c r="S87" s="1" t="s">
        <v>6</v>
      </c>
      <c r="T87" s="0" t="s">
        <v>10</v>
      </c>
      <c r="U87" s="0" t="s">
        <v>253</v>
      </c>
      <c r="V87" s="0" t="s">
        <v>254</v>
      </c>
      <c r="W87" s="0" t="n">
        <v>12.923428</v>
      </c>
      <c r="Y87" s="1" t="s">
        <v>6</v>
      </c>
      <c r="Z87" s="0" t="n">
        <v>0.512968</v>
      </c>
      <c r="AB87" s="1" t="s">
        <v>6</v>
      </c>
      <c r="AC87" s="0" t="n">
        <v>0.498069</v>
      </c>
      <c r="AE87" s="1" t="s">
        <v>6</v>
      </c>
      <c r="AF87" s="0" t="n">
        <v>0.595384</v>
      </c>
      <c r="AH87" s="1" t="s">
        <v>6</v>
      </c>
      <c r="AI87" s="0" t="n">
        <v>0.571174</v>
      </c>
      <c r="AK87" s="1" t="s">
        <v>6</v>
      </c>
      <c r="AL87" s="0" t="s">
        <v>258</v>
      </c>
      <c r="AM87" s="0" t="s">
        <v>253</v>
      </c>
      <c r="AN87" s="0" t="s">
        <v>254</v>
      </c>
      <c r="AO87" s="0" t="n">
        <v>6.841408</v>
      </c>
      <c r="AS87" s="2" t="str">
        <f aca="false">IF(AND(G87="true",J87="true",M87="true",P87="true",S87="true"),"true","false")</f>
        <v>false</v>
      </c>
      <c r="AT87" s="0" t="str">
        <f aca="false">IF(AND(Y87="true",AB87="true",AE87="true",AH87="true",AK87="true"),"true","false")</f>
        <v>false</v>
      </c>
    </row>
    <row r="88" customFormat="false" ht="12.8" hidden="false" customHeight="false" outlineLevel="0" collapsed="false">
      <c r="A88" s="0" t="s">
        <v>396</v>
      </c>
      <c r="B88" s="0" t="s">
        <v>1</v>
      </c>
      <c r="C88" s="0" t="s">
        <v>258</v>
      </c>
      <c r="D88" s="0" t="s">
        <v>254</v>
      </c>
      <c r="E88" s="0" t="n">
        <v>22.056084</v>
      </c>
      <c r="F88" s="0" t="s">
        <v>261</v>
      </c>
      <c r="G88" s="1" t="s">
        <v>6</v>
      </c>
      <c r="H88" s="0" t="n">
        <v>17.236597</v>
      </c>
      <c r="I88" s="0" t="s">
        <v>261</v>
      </c>
      <c r="J88" s="1" t="s">
        <v>5</v>
      </c>
      <c r="K88" s="0" t="n">
        <v>6.371655</v>
      </c>
      <c r="L88" s="0" t="s">
        <v>262</v>
      </c>
      <c r="M88" s="1" t="s">
        <v>5</v>
      </c>
      <c r="N88" s="0" t="n">
        <v>34.988123</v>
      </c>
      <c r="O88" s="0" t="s">
        <v>224</v>
      </c>
      <c r="P88" s="1" t="s">
        <v>5</v>
      </c>
      <c r="Q88" s="0" t="n">
        <v>22.380606</v>
      </c>
      <c r="R88" s="0" t="s">
        <v>15</v>
      </c>
      <c r="S88" s="1" t="s">
        <v>6</v>
      </c>
      <c r="T88" s="0" t="s">
        <v>10</v>
      </c>
      <c r="U88" s="0" t="s">
        <v>253</v>
      </c>
      <c r="V88" s="0" t="s">
        <v>254</v>
      </c>
      <c r="W88" s="0" t="n">
        <v>23.473448</v>
      </c>
      <c r="X88" s="0" t="s">
        <v>255</v>
      </c>
      <c r="Y88" s="1" t="s">
        <v>5</v>
      </c>
      <c r="Z88" s="0" t="n">
        <v>38.193693</v>
      </c>
      <c r="AA88" s="0" t="s">
        <v>256</v>
      </c>
      <c r="AB88" s="1" t="s">
        <v>6</v>
      </c>
      <c r="AC88" s="0" t="n">
        <v>14.593079</v>
      </c>
      <c r="AD88" s="0" t="s">
        <v>264</v>
      </c>
      <c r="AE88" s="1" t="s">
        <v>6</v>
      </c>
      <c r="AF88" s="0" t="n">
        <v>28.58371</v>
      </c>
      <c r="AG88" s="0" t="s">
        <v>276</v>
      </c>
      <c r="AH88" s="1" t="s">
        <v>6</v>
      </c>
      <c r="AI88" s="0" t="n">
        <v>9.176274</v>
      </c>
      <c r="AJ88" s="0" t="s">
        <v>15</v>
      </c>
      <c r="AK88" s="1" t="s">
        <v>6</v>
      </c>
      <c r="AL88" s="0" t="s">
        <v>258</v>
      </c>
      <c r="AM88" s="0" t="s">
        <v>253</v>
      </c>
      <c r="AN88" s="0" t="s">
        <v>254</v>
      </c>
      <c r="AO88" s="0" t="n">
        <v>8.624094</v>
      </c>
      <c r="AP88" s="0" t="n">
        <v>1</v>
      </c>
      <c r="AQ88" s="0" t="n">
        <v>2</v>
      </c>
      <c r="AS88" s="2" t="str">
        <f aca="false">IF(AND(G88="true",J88="true",M88="true",P88="true",S88="true"),"true","false")</f>
        <v>false</v>
      </c>
      <c r="AT88" s="0" t="str">
        <f aca="false">IF(AND(Y88="true",AB88="true",AE88="true",AH88="true",AK88="true"),"true","false")</f>
        <v>false</v>
      </c>
    </row>
    <row r="89" customFormat="false" ht="12.8" hidden="false" customHeight="false" outlineLevel="0" collapsed="false">
      <c r="A89" s="0" t="s">
        <v>397</v>
      </c>
      <c r="B89" s="0" t="s">
        <v>1</v>
      </c>
      <c r="C89" s="0" t="s">
        <v>258</v>
      </c>
      <c r="D89" s="0" t="s">
        <v>254</v>
      </c>
      <c r="E89" s="0" t="n">
        <v>19.038219</v>
      </c>
      <c r="F89" s="0" t="s">
        <v>261</v>
      </c>
      <c r="G89" s="1" t="s">
        <v>6</v>
      </c>
      <c r="H89" s="0" t="n">
        <v>13.987401</v>
      </c>
      <c r="I89" s="0" t="s">
        <v>261</v>
      </c>
      <c r="J89" s="1" t="s">
        <v>5</v>
      </c>
      <c r="K89" s="0" t="n">
        <v>5.619023</v>
      </c>
      <c r="L89" s="0" t="s">
        <v>262</v>
      </c>
      <c r="M89" s="1" t="s">
        <v>5</v>
      </c>
      <c r="N89" s="0" t="n">
        <v>26.588766</v>
      </c>
      <c r="O89" s="0" t="s">
        <v>224</v>
      </c>
      <c r="P89" s="1" t="s">
        <v>5</v>
      </c>
      <c r="Q89" s="0" t="n">
        <v>9.204585</v>
      </c>
      <c r="R89" s="0" t="s">
        <v>51</v>
      </c>
      <c r="S89" s="1" t="s">
        <v>5</v>
      </c>
      <c r="T89" s="0" t="s">
        <v>10</v>
      </c>
      <c r="U89" s="0" t="s">
        <v>253</v>
      </c>
      <c r="V89" s="0" t="s">
        <v>254</v>
      </c>
      <c r="W89" s="0" t="n">
        <v>13.921254</v>
      </c>
      <c r="X89" s="0" t="s">
        <v>255</v>
      </c>
      <c r="Y89" s="1" t="s">
        <v>5</v>
      </c>
      <c r="Z89" s="0" t="n">
        <v>12.502137</v>
      </c>
      <c r="AA89" s="0" t="s">
        <v>255</v>
      </c>
      <c r="AB89" s="1" t="s">
        <v>5</v>
      </c>
      <c r="AC89" s="0" t="n">
        <v>11.8022</v>
      </c>
      <c r="AD89" s="0" t="s">
        <v>256</v>
      </c>
      <c r="AE89" s="1" t="s">
        <v>5</v>
      </c>
      <c r="AF89" s="0" t="n">
        <v>22.475048</v>
      </c>
      <c r="AG89" s="0" t="s">
        <v>257</v>
      </c>
      <c r="AH89" s="1" t="s">
        <v>5</v>
      </c>
      <c r="AI89" s="0" t="n">
        <v>19.70303</v>
      </c>
      <c r="AJ89" s="0" t="s">
        <v>9</v>
      </c>
      <c r="AK89" s="1" t="s">
        <v>5</v>
      </c>
      <c r="AL89" s="0" t="s">
        <v>258</v>
      </c>
      <c r="AM89" s="0" t="s">
        <v>253</v>
      </c>
      <c r="AN89" s="0" t="s">
        <v>254</v>
      </c>
      <c r="AO89" s="0" t="n">
        <v>14.78496</v>
      </c>
      <c r="AP89" s="0" t="n">
        <v>1</v>
      </c>
      <c r="AQ89" s="0" t="n">
        <v>2</v>
      </c>
      <c r="AR89" s="0" t="s">
        <v>52</v>
      </c>
      <c r="AS89" s="2" t="str">
        <f aca="false">IF(AND(G89="true",J89="true",M89="true",P89="true",S89="true"),"true","false")</f>
        <v>false</v>
      </c>
      <c r="AT89" s="0" t="str">
        <f aca="false">IF(AND(Y89="true",AB89="true",AE89="true",AH89="true",AK89="true"),"true","false")</f>
        <v>true</v>
      </c>
    </row>
    <row r="90" customFormat="false" ht="12.8" hidden="false" customHeight="false" outlineLevel="0" collapsed="false">
      <c r="A90" s="0" t="s">
        <v>398</v>
      </c>
      <c r="B90" s="0" t="s">
        <v>1</v>
      </c>
      <c r="C90" s="0" t="s">
        <v>258</v>
      </c>
      <c r="D90" s="0" t="s">
        <v>254</v>
      </c>
      <c r="E90" s="0" t="n">
        <v>14.577305</v>
      </c>
      <c r="F90" s="0" t="s">
        <v>260</v>
      </c>
      <c r="G90" s="1" t="s">
        <v>5</v>
      </c>
      <c r="H90" s="0" t="n">
        <v>10.845868</v>
      </c>
      <c r="I90" s="0" t="s">
        <v>261</v>
      </c>
      <c r="J90" s="1" t="s">
        <v>5</v>
      </c>
      <c r="K90" s="0" t="n">
        <v>3.796325</v>
      </c>
      <c r="L90" s="0" t="s">
        <v>262</v>
      </c>
      <c r="M90" s="1" t="s">
        <v>5</v>
      </c>
      <c r="N90" s="0" t="n">
        <v>14.350302</v>
      </c>
      <c r="O90" s="0" t="s">
        <v>224</v>
      </c>
      <c r="P90" s="1" t="s">
        <v>5</v>
      </c>
      <c r="Q90" s="0" t="n">
        <v>13.289269</v>
      </c>
      <c r="R90" s="0" t="s">
        <v>51</v>
      </c>
      <c r="S90" s="1" t="s">
        <v>5</v>
      </c>
      <c r="T90" s="0" t="s">
        <v>10</v>
      </c>
      <c r="U90" s="0" t="s">
        <v>253</v>
      </c>
      <c r="V90" s="0" t="s">
        <v>254</v>
      </c>
      <c r="W90" s="0" t="n">
        <v>23.555056</v>
      </c>
      <c r="X90" s="0" t="s">
        <v>255</v>
      </c>
      <c r="Y90" s="1" t="s">
        <v>5</v>
      </c>
      <c r="Z90" s="0" t="n">
        <v>13.374036</v>
      </c>
      <c r="AA90" s="0" t="s">
        <v>256</v>
      </c>
      <c r="AB90" s="1" t="s">
        <v>6</v>
      </c>
      <c r="AC90" s="0" t="n">
        <v>2.306073</v>
      </c>
      <c r="AE90" s="1" t="s">
        <v>6</v>
      </c>
      <c r="AF90" s="0" t="n">
        <v>21.136128</v>
      </c>
      <c r="AG90" s="0" t="s">
        <v>257</v>
      </c>
      <c r="AH90" s="1" t="s">
        <v>5</v>
      </c>
      <c r="AI90" s="0" t="n">
        <v>13.820502</v>
      </c>
      <c r="AJ90" s="0" t="s">
        <v>9</v>
      </c>
      <c r="AK90" s="1" t="s">
        <v>5</v>
      </c>
      <c r="AL90" s="0" t="s">
        <v>258</v>
      </c>
      <c r="AM90" s="0" t="s">
        <v>253</v>
      </c>
      <c r="AN90" s="0" t="s">
        <v>254</v>
      </c>
      <c r="AO90" s="0" t="n">
        <v>6.164284</v>
      </c>
      <c r="AP90" s="0" t="n">
        <v>0</v>
      </c>
      <c r="AQ90" s="0" t="n">
        <v>1</v>
      </c>
      <c r="AS90" s="2" t="str">
        <f aca="false">IF(AND(G90="true",J90="true",M90="true",P90="true",S90="true"),"true","false")</f>
        <v>true</v>
      </c>
      <c r="AT90" s="0" t="str">
        <f aca="false">IF(AND(Y90="true",AB90="true",AE90="true",AH90="true",AK90="true"),"true","false")</f>
        <v>false</v>
      </c>
    </row>
    <row r="91" customFormat="false" ht="12.8" hidden="false" customHeight="false" outlineLevel="0" collapsed="false">
      <c r="A91" s="0" t="s">
        <v>399</v>
      </c>
      <c r="B91" s="0" t="s">
        <v>1</v>
      </c>
      <c r="C91" s="0" t="s">
        <v>258</v>
      </c>
      <c r="D91" s="0" t="s">
        <v>254</v>
      </c>
      <c r="E91" s="0" t="n">
        <v>23.632121</v>
      </c>
      <c r="F91" s="0" t="s">
        <v>260</v>
      </c>
      <c r="G91" s="1" t="s">
        <v>5</v>
      </c>
      <c r="H91" s="0" t="n">
        <v>16.162651</v>
      </c>
      <c r="I91" s="0" t="s">
        <v>261</v>
      </c>
      <c r="J91" s="1" t="s">
        <v>5</v>
      </c>
      <c r="K91" s="0" t="n">
        <v>9.851554</v>
      </c>
      <c r="L91" s="0" t="s">
        <v>262</v>
      </c>
      <c r="M91" s="1" t="s">
        <v>5</v>
      </c>
      <c r="N91" s="0" t="n">
        <v>18.097272</v>
      </c>
      <c r="O91" s="0" t="s">
        <v>224</v>
      </c>
      <c r="P91" s="1" t="s">
        <v>5</v>
      </c>
      <c r="Q91" s="0" t="n">
        <v>16.603232</v>
      </c>
      <c r="R91" s="0" t="s">
        <v>9</v>
      </c>
      <c r="S91" s="1" t="s">
        <v>6</v>
      </c>
      <c r="T91" s="0" t="s">
        <v>10</v>
      </c>
      <c r="U91" s="0" t="s">
        <v>253</v>
      </c>
      <c r="V91" s="0" t="s">
        <v>254</v>
      </c>
      <c r="W91" s="0" t="n">
        <v>39.586335</v>
      </c>
      <c r="X91" s="0" t="s">
        <v>284</v>
      </c>
      <c r="Y91" s="1" t="s">
        <v>6</v>
      </c>
      <c r="Z91" s="0" t="n">
        <v>15.048821</v>
      </c>
      <c r="AA91" s="0" t="s">
        <v>255</v>
      </c>
      <c r="AB91" s="1" t="s">
        <v>5</v>
      </c>
      <c r="AC91" s="0" t="n">
        <v>12.434786</v>
      </c>
      <c r="AD91" s="0" t="s">
        <v>256</v>
      </c>
      <c r="AE91" s="1" t="s">
        <v>5</v>
      </c>
      <c r="AF91" s="0" t="n">
        <v>40.791702</v>
      </c>
      <c r="AG91" s="0" t="s">
        <v>257</v>
      </c>
      <c r="AH91" s="1" t="s">
        <v>5</v>
      </c>
      <c r="AI91" s="0" t="n">
        <v>22.928328</v>
      </c>
      <c r="AJ91" s="0" t="s">
        <v>9</v>
      </c>
      <c r="AK91" s="1" t="s">
        <v>5</v>
      </c>
      <c r="AL91" s="0" t="s">
        <v>258</v>
      </c>
      <c r="AM91" s="0" t="s">
        <v>253</v>
      </c>
      <c r="AN91" s="0" t="s">
        <v>254</v>
      </c>
      <c r="AO91" s="0" t="n">
        <v>6.64905</v>
      </c>
      <c r="AP91" s="0" t="n">
        <v>1</v>
      </c>
      <c r="AQ91" s="0" t="n">
        <v>-1</v>
      </c>
      <c r="AS91" s="2" t="str">
        <f aca="false">IF(AND(G91="true",J91="true",M91="true",P91="true",S91="true"),"true","false")</f>
        <v>false</v>
      </c>
      <c r="AT91" s="0" t="str">
        <f aca="false">IF(AND(Y91="true",AB91="true",AE91="true",AH91="true",AK91="true"),"true","false")</f>
        <v>false</v>
      </c>
    </row>
    <row r="92" customFormat="false" ht="12.8" hidden="false" customHeight="false" outlineLevel="0" collapsed="false">
      <c r="A92" s="0" t="s">
        <v>400</v>
      </c>
      <c r="B92" s="0" t="s">
        <v>1</v>
      </c>
      <c r="C92" s="0" t="s">
        <v>258</v>
      </c>
      <c r="D92" s="0" t="s">
        <v>254</v>
      </c>
      <c r="E92" s="0" t="n">
        <v>17.488596</v>
      </c>
      <c r="F92" s="0" t="s">
        <v>261</v>
      </c>
      <c r="G92" s="1" t="s">
        <v>6</v>
      </c>
      <c r="H92" s="0" t="n">
        <v>22.647696</v>
      </c>
      <c r="I92" s="0" t="s">
        <v>260</v>
      </c>
      <c r="J92" s="1" t="s">
        <v>6</v>
      </c>
      <c r="K92" s="0" t="n">
        <v>3.396276</v>
      </c>
      <c r="L92" s="0" t="s">
        <v>261</v>
      </c>
      <c r="M92" s="1" t="s">
        <v>6</v>
      </c>
      <c r="N92" s="0" t="n">
        <v>17.478531</v>
      </c>
      <c r="O92" s="0" t="s">
        <v>47</v>
      </c>
      <c r="P92" s="1" t="s">
        <v>6</v>
      </c>
      <c r="Q92" s="0" t="n">
        <v>8.9804</v>
      </c>
      <c r="R92" s="0" t="s">
        <v>9</v>
      </c>
      <c r="S92" s="1" t="s">
        <v>6</v>
      </c>
      <c r="T92" s="0" t="s">
        <v>10</v>
      </c>
      <c r="U92" s="0" t="s">
        <v>253</v>
      </c>
      <c r="V92" s="0" t="s">
        <v>254</v>
      </c>
      <c r="W92" s="0" t="n">
        <v>19.335965</v>
      </c>
      <c r="X92" s="0" t="s">
        <v>264</v>
      </c>
      <c r="Y92" s="1" t="s">
        <v>6</v>
      </c>
      <c r="Z92" s="0" t="n">
        <v>9.408392</v>
      </c>
      <c r="AA92" s="0" t="s">
        <v>264</v>
      </c>
      <c r="AB92" s="1" t="s">
        <v>6</v>
      </c>
      <c r="AC92" s="0" t="n">
        <v>9.157761</v>
      </c>
      <c r="AD92" s="0" t="s">
        <v>264</v>
      </c>
      <c r="AE92" s="1" t="s">
        <v>6</v>
      </c>
      <c r="AF92" s="0" t="n">
        <v>33.951752</v>
      </c>
      <c r="AG92" s="0" t="s">
        <v>257</v>
      </c>
      <c r="AH92" s="1" t="s">
        <v>5</v>
      </c>
      <c r="AI92" s="0" t="n">
        <v>13.396766</v>
      </c>
      <c r="AJ92" s="0" t="s">
        <v>9</v>
      </c>
      <c r="AK92" s="1" t="s">
        <v>5</v>
      </c>
      <c r="AL92" s="0" t="s">
        <v>258</v>
      </c>
      <c r="AM92" s="0" t="s">
        <v>253</v>
      </c>
      <c r="AN92" s="0" t="s">
        <v>254</v>
      </c>
      <c r="AO92" s="0" t="n">
        <v>5.977233</v>
      </c>
      <c r="AP92" s="0" t="n">
        <v>2</v>
      </c>
      <c r="AQ92" s="0" t="n">
        <v>1</v>
      </c>
      <c r="AS92" s="2" t="str">
        <f aca="false">IF(AND(G92="true",J92="true",M92="true",P92="true",S92="true"),"true","false")</f>
        <v>false</v>
      </c>
      <c r="AT92" s="0" t="str">
        <f aca="false">IF(AND(Y92="true",AB92="true",AE92="true",AH92="true",AK92="true"),"true","false")</f>
        <v>false</v>
      </c>
    </row>
    <row r="93" customFormat="false" ht="12.8" hidden="false" customHeight="false" outlineLevel="0" collapsed="false">
      <c r="A93" s="0" t="s">
        <v>401</v>
      </c>
      <c r="B93" s="0" t="s">
        <v>1</v>
      </c>
      <c r="C93" s="0" t="s">
        <v>253</v>
      </c>
      <c r="D93" s="0" t="s">
        <v>254</v>
      </c>
      <c r="E93" s="0" t="n">
        <v>39.228494</v>
      </c>
      <c r="F93" s="0" t="s">
        <v>255</v>
      </c>
      <c r="G93" s="1" t="s">
        <v>5</v>
      </c>
      <c r="H93" s="0" t="n">
        <v>23.536611</v>
      </c>
      <c r="I93" s="0" t="s">
        <v>255</v>
      </c>
      <c r="J93" s="1" t="s">
        <v>5</v>
      </c>
      <c r="K93" s="0" t="n">
        <v>11.995597</v>
      </c>
      <c r="L93" s="0" t="s">
        <v>256</v>
      </c>
      <c r="M93" s="1" t="s">
        <v>5</v>
      </c>
      <c r="N93" s="0" t="n">
        <v>20.785716</v>
      </c>
      <c r="O93" s="0" t="s">
        <v>257</v>
      </c>
      <c r="P93" s="1" t="s">
        <v>5</v>
      </c>
      <c r="Q93" s="0" t="n">
        <v>35.265771</v>
      </c>
      <c r="R93" s="0" t="s">
        <v>9</v>
      </c>
      <c r="S93" s="1" t="s">
        <v>6</v>
      </c>
      <c r="T93" s="0" t="s">
        <v>10</v>
      </c>
      <c r="U93" s="0" t="s">
        <v>258</v>
      </c>
      <c r="V93" s="0" t="s">
        <v>254</v>
      </c>
      <c r="W93" s="0" t="n">
        <v>43.577033</v>
      </c>
      <c r="X93" s="0" t="s">
        <v>260</v>
      </c>
      <c r="Y93" s="1" t="s">
        <v>5</v>
      </c>
      <c r="Z93" s="0" t="n">
        <v>9.778171</v>
      </c>
      <c r="AA93" s="0" t="s">
        <v>261</v>
      </c>
      <c r="AB93" s="1" t="s">
        <v>5</v>
      </c>
      <c r="AC93" s="0" t="n">
        <v>3.65067</v>
      </c>
      <c r="AD93" s="0" t="s">
        <v>262</v>
      </c>
      <c r="AE93" s="1" t="s">
        <v>5</v>
      </c>
      <c r="AF93" s="0" t="n">
        <v>39.879791</v>
      </c>
      <c r="AG93" s="0" t="s">
        <v>224</v>
      </c>
      <c r="AH93" s="1" t="s">
        <v>5</v>
      </c>
      <c r="AI93" s="0" t="n">
        <v>13.280825</v>
      </c>
      <c r="AJ93" s="0" t="s">
        <v>15</v>
      </c>
      <c r="AK93" s="1" t="s">
        <v>6</v>
      </c>
      <c r="AL93" s="0" t="s">
        <v>253</v>
      </c>
      <c r="AM93" s="0" t="s">
        <v>258</v>
      </c>
      <c r="AN93" s="0" t="s">
        <v>254</v>
      </c>
      <c r="AO93" s="0" t="n">
        <v>10.692594</v>
      </c>
      <c r="AP93" s="0" t="n">
        <v>0</v>
      </c>
      <c r="AQ93" s="0" t="n">
        <v>2</v>
      </c>
      <c r="AS93" s="2" t="str">
        <f aca="false">IF(AND(G93="true",J93="true",M93="true",P93="true",S93="true"),"true","false")</f>
        <v>false</v>
      </c>
      <c r="AT93" s="0" t="str">
        <f aca="false">IF(AND(Y93="true",AB93="true",AE93="true",AH93="true",AK93="true"),"true","false")</f>
        <v>false</v>
      </c>
    </row>
    <row r="94" customFormat="false" ht="12.8" hidden="false" customHeight="false" outlineLevel="0" collapsed="false">
      <c r="A94" s="0" t="s">
        <v>402</v>
      </c>
      <c r="B94" s="0" t="s">
        <v>1</v>
      </c>
      <c r="C94" s="0" t="s">
        <v>258</v>
      </c>
      <c r="D94" s="0" t="s">
        <v>254</v>
      </c>
      <c r="E94" s="0" t="n">
        <v>31.22664</v>
      </c>
      <c r="F94" s="0" t="s">
        <v>260</v>
      </c>
      <c r="G94" s="1" t="s">
        <v>5</v>
      </c>
      <c r="H94" s="0" t="n">
        <v>25.141899</v>
      </c>
      <c r="I94" s="0" t="s">
        <v>261</v>
      </c>
      <c r="J94" s="1" t="s">
        <v>5</v>
      </c>
      <c r="K94" s="0" t="n">
        <v>17.938571</v>
      </c>
      <c r="L94" s="0" t="s">
        <v>262</v>
      </c>
      <c r="M94" s="1" t="s">
        <v>5</v>
      </c>
      <c r="N94" s="0" t="n">
        <v>31.952068</v>
      </c>
      <c r="O94" s="0" t="s">
        <v>70</v>
      </c>
      <c r="P94" s="1" t="s">
        <v>6</v>
      </c>
      <c r="Q94" s="0" t="n">
        <v>19.199318</v>
      </c>
      <c r="R94" s="0" t="s">
        <v>9</v>
      </c>
      <c r="S94" s="1" t="s">
        <v>6</v>
      </c>
      <c r="T94" s="0" t="s">
        <v>10</v>
      </c>
      <c r="U94" s="0" t="s">
        <v>253</v>
      </c>
      <c r="V94" s="0" t="s">
        <v>254</v>
      </c>
      <c r="W94" s="0" t="n">
        <v>28.745381</v>
      </c>
      <c r="X94" s="0" t="s">
        <v>255</v>
      </c>
      <c r="Y94" s="1" t="s">
        <v>5</v>
      </c>
      <c r="Z94" s="0" t="n">
        <v>18.691467</v>
      </c>
      <c r="AA94" s="0" t="s">
        <v>255</v>
      </c>
      <c r="AB94" s="1" t="s">
        <v>5</v>
      </c>
      <c r="AC94" s="0" t="n">
        <v>16.120056</v>
      </c>
      <c r="AD94" s="0" t="s">
        <v>256</v>
      </c>
      <c r="AE94" s="1" t="s">
        <v>5</v>
      </c>
      <c r="AF94" s="0" t="n">
        <v>20.635038</v>
      </c>
      <c r="AG94" s="0" t="s">
        <v>266</v>
      </c>
      <c r="AH94" s="1" t="s">
        <v>6</v>
      </c>
      <c r="AI94" s="0" t="n">
        <v>68.607756</v>
      </c>
      <c r="AJ94" s="0" t="s">
        <v>51</v>
      </c>
      <c r="AK94" s="1" t="s">
        <v>6</v>
      </c>
      <c r="AL94" s="0" t="s">
        <v>258</v>
      </c>
      <c r="AM94" s="0" t="s">
        <v>253</v>
      </c>
      <c r="AN94" s="0" t="s">
        <v>254</v>
      </c>
      <c r="AO94" s="0" t="n">
        <v>19.200228</v>
      </c>
      <c r="AP94" s="0" t="n">
        <v>1</v>
      </c>
      <c r="AQ94" s="0" t="n">
        <v>1</v>
      </c>
      <c r="AR94" s="0" t="s">
        <v>403</v>
      </c>
      <c r="AS94" s="2" t="str">
        <f aca="false">IF(AND(G94="true",J94="true",M94="true",P94="true",S94="true"),"true","false")</f>
        <v>false</v>
      </c>
      <c r="AT94" s="0" t="str">
        <f aca="false">IF(AND(Y94="true",AB94="true",AE94="true",AH94="true",AK94="true"),"true","false")</f>
        <v>false</v>
      </c>
    </row>
    <row r="95" customFormat="false" ht="12.8" hidden="false" customHeight="false" outlineLevel="0" collapsed="false">
      <c r="A95" s="0" t="s">
        <v>404</v>
      </c>
      <c r="B95" s="0" t="s">
        <v>1</v>
      </c>
      <c r="C95" s="0" t="s">
        <v>258</v>
      </c>
      <c r="D95" s="0" t="s">
        <v>254</v>
      </c>
      <c r="E95" s="0" t="n">
        <v>25.750405</v>
      </c>
      <c r="F95" s="0" t="s">
        <v>260</v>
      </c>
      <c r="G95" s="1" t="s">
        <v>5</v>
      </c>
      <c r="H95" s="0" t="n">
        <v>11.937977</v>
      </c>
      <c r="I95" s="0" t="s">
        <v>261</v>
      </c>
      <c r="J95" s="1" t="s">
        <v>5</v>
      </c>
      <c r="K95" s="0" t="n">
        <v>4.163974</v>
      </c>
      <c r="L95" s="0" t="s">
        <v>262</v>
      </c>
      <c r="M95" s="1" t="s">
        <v>5</v>
      </c>
      <c r="N95" s="0" t="n">
        <v>31.174078</v>
      </c>
      <c r="O95" s="0" t="s">
        <v>224</v>
      </c>
      <c r="P95" s="1" t="s">
        <v>5</v>
      </c>
      <c r="Q95" s="0" t="n">
        <v>11.272811</v>
      </c>
      <c r="R95" s="0" t="s">
        <v>9</v>
      </c>
      <c r="S95" s="1" t="s">
        <v>6</v>
      </c>
      <c r="T95" s="0" t="s">
        <v>10</v>
      </c>
      <c r="U95" s="0" t="s">
        <v>253</v>
      </c>
      <c r="V95" s="0" t="s">
        <v>254</v>
      </c>
      <c r="W95" s="0" t="n">
        <v>12.542703</v>
      </c>
      <c r="X95" s="0" t="s">
        <v>255</v>
      </c>
      <c r="Y95" s="1" t="s">
        <v>5</v>
      </c>
      <c r="Z95" s="0" t="n">
        <v>23.783352</v>
      </c>
      <c r="AA95" s="0" t="s">
        <v>255</v>
      </c>
      <c r="AB95" s="1" t="s">
        <v>5</v>
      </c>
      <c r="AC95" s="0" t="n">
        <v>20.281478</v>
      </c>
      <c r="AD95" s="0" t="s">
        <v>256</v>
      </c>
      <c r="AE95" s="1" t="s">
        <v>5</v>
      </c>
      <c r="AF95" s="0" t="n">
        <v>30.92245</v>
      </c>
      <c r="AG95" s="0" t="s">
        <v>257</v>
      </c>
      <c r="AH95" s="1" t="s">
        <v>5</v>
      </c>
      <c r="AI95" s="0" t="n">
        <v>8.340454</v>
      </c>
      <c r="AJ95" s="0" t="s">
        <v>9</v>
      </c>
      <c r="AK95" s="1" t="s">
        <v>5</v>
      </c>
      <c r="AL95" s="0" t="s">
        <v>258</v>
      </c>
      <c r="AM95" s="0" t="s">
        <v>253</v>
      </c>
      <c r="AN95" s="0" t="s">
        <v>254</v>
      </c>
      <c r="AO95" s="0" t="n">
        <v>18.12498</v>
      </c>
      <c r="AP95" s="0" t="n">
        <v>2</v>
      </c>
      <c r="AQ95" s="0" t="n">
        <v>1</v>
      </c>
      <c r="AS95" s="2" t="str">
        <f aca="false">IF(AND(G95="true",J95="true",M95="true",P95="true",S95="true"),"true","false")</f>
        <v>false</v>
      </c>
      <c r="AT95" s="0" t="str">
        <f aca="false">IF(AND(Y95="true",AB95="true",AE95="true",AH95="true",AK95="true"),"true","false")</f>
        <v>true</v>
      </c>
    </row>
    <row r="96" customFormat="false" ht="12.8" hidden="false" customHeight="false" outlineLevel="0" collapsed="false">
      <c r="A96" s="0" t="s">
        <v>405</v>
      </c>
      <c r="B96" s="0" t="s">
        <v>1</v>
      </c>
      <c r="C96" s="0" t="s">
        <v>253</v>
      </c>
      <c r="D96" s="0" t="s">
        <v>254</v>
      </c>
      <c r="E96" s="0" t="n">
        <v>28.987172</v>
      </c>
      <c r="F96" s="0" t="s">
        <v>255</v>
      </c>
      <c r="G96" s="1" t="s">
        <v>5</v>
      </c>
      <c r="H96" s="0" t="n">
        <v>13.274093</v>
      </c>
      <c r="I96" s="0" t="s">
        <v>255</v>
      </c>
      <c r="J96" s="1" t="s">
        <v>5</v>
      </c>
      <c r="K96" s="0" t="n">
        <v>3.97357</v>
      </c>
      <c r="L96" s="0" t="s">
        <v>256</v>
      </c>
      <c r="M96" s="1" t="s">
        <v>5</v>
      </c>
      <c r="N96" s="0" t="n">
        <v>22.210613</v>
      </c>
      <c r="O96" s="0" t="s">
        <v>257</v>
      </c>
      <c r="P96" s="1" t="s">
        <v>5</v>
      </c>
      <c r="Q96" s="0" t="n">
        <v>11.479688</v>
      </c>
      <c r="R96" s="0" t="s">
        <v>9</v>
      </c>
      <c r="S96" s="1" t="s">
        <v>6</v>
      </c>
      <c r="T96" s="0" t="s">
        <v>10</v>
      </c>
      <c r="U96" s="0" t="s">
        <v>258</v>
      </c>
      <c r="V96" s="0" t="s">
        <v>254</v>
      </c>
      <c r="W96" s="0" t="n">
        <v>19.596376</v>
      </c>
      <c r="X96" s="0" t="s">
        <v>406</v>
      </c>
      <c r="Y96" s="1" t="s">
        <v>6</v>
      </c>
      <c r="Z96" s="0" t="n">
        <v>14.031423</v>
      </c>
      <c r="AA96" s="0" t="s">
        <v>261</v>
      </c>
      <c r="AB96" s="1" t="s">
        <v>5</v>
      </c>
      <c r="AC96" s="0" t="n">
        <v>12.970927</v>
      </c>
      <c r="AD96" s="0" t="s">
        <v>407</v>
      </c>
      <c r="AE96" s="1" t="s">
        <v>6</v>
      </c>
      <c r="AF96" s="0" t="n">
        <v>4.348265</v>
      </c>
      <c r="AG96" s="0" t="s">
        <v>408</v>
      </c>
      <c r="AH96" s="1" t="s">
        <v>6</v>
      </c>
      <c r="AI96" s="0" t="n">
        <v>3.165557</v>
      </c>
      <c r="AJ96" s="0" t="s">
        <v>15</v>
      </c>
      <c r="AK96" s="1" t="s">
        <v>6</v>
      </c>
      <c r="AL96" s="0" t="s">
        <v>253</v>
      </c>
      <c r="AM96" s="0" t="s">
        <v>258</v>
      </c>
      <c r="AN96" s="0" t="s">
        <v>254</v>
      </c>
      <c r="AO96" s="0" t="n">
        <v>2.959173</v>
      </c>
      <c r="AP96" s="0" t="n">
        <v>0</v>
      </c>
      <c r="AQ96" s="0" t="n">
        <v>0</v>
      </c>
      <c r="AS96" s="2" t="str">
        <f aca="false">IF(AND(G96="true",J96="true",M96="true",P96="true",S96="true"),"true","false")</f>
        <v>false</v>
      </c>
      <c r="AT96" s="0" t="str">
        <f aca="false">IF(AND(Y96="true",AB96="true",AE96="true",AH96="true",AK96="true"),"true","false")</f>
        <v>false</v>
      </c>
    </row>
    <row r="97" customFormat="false" ht="12.8" hidden="false" customHeight="false" outlineLevel="0" collapsed="false">
      <c r="A97" s="0" t="s">
        <v>409</v>
      </c>
      <c r="B97" s="0" t="s">
        <v>1</v>
      </c>
      <c r="C97" s="0" t="s">
        <v>258</v>
      </c>
      <c r="D97" s="0" t="s">
        <v>254</v>
      </c>
      <c r="E97" s="0" t="n">
        <v>46.919527</v>
      </c>
      <c r="F97" s="0" t="s">
        <v>260</v>
      </c>
      <c r="G97" s="1" t="s">
        <v>5</v>
      </c>
      <c r="H97" s="0" t="n">
        <v>11.958702</v>
      </c>
      <c r="I97" s="0" t="s">
        <v>261</v>
      </c>
      <c r="J97" s="1" t="s">
        <v>5</v>
      </c>
      <c r="K97" s="0" t="n">
        <v>9.363038</v>
      </c>
      <c r="L97" s="0" t="s">
        <v>262</v>
      </c>
      <c r="M97" s="1" t="s">
        <v>5</v>
      </c>
      <c r="N97" s="0" t="n">
        <v>47.860196</v>
      </c>
      <c r="O97" s="0" t="s">
        <v>224</v>
      </c>
      <c r="P97" s="1" t="s">
        <v>5</v>
      </c>
      <c r="Q97" s="0" t="n">
        <v>15.391576</v>
      </c>
      <c r="R97" s="0" t="s">
        <v>15</v>
      </c>
      <c r="S97" s="1" t="s">
        <v>6</v>
      </c>
      <c r="T97" s="0" t="s">
        <v>10</v>
      </c>
      <c r="U97" s="0" t="s">
        <v>253</v>
      </c>
      <c r="V97" s="0" t="s">
        <v>254</v>
      </c>
      <c r="W97" s="0" t="n">
        <v>41.517013</v>
      </c>
      <c r="X97" s="0" t="s">
        <v>255</v>
      </c>
      <c r="Y97" s="1" t="s">
        <v>5</v>
      </c>
      <c r="Z97" s="0" t="n">
        <v>16.806968</v>
      </c>
      <c r="AA97" s="0" t="s">
        <v>264</v>
      </c>
      <c r="AB97" s="1" t="s">
        <v>6</v>
      </c>
      <c r="AC97" s="0" t="n">
        <v>5.484365</v>
      </c>
      <c r="AD97" s="0" t="s">
        <v>256</v>
      </c>
      <c r="AE97" s="1" t="s">
        <v>5</v>
      </c>
      <c r="AF97" s="0" t="n">
        <v>56.168238</v>
      </c>
      <c r="AG97" s="0" t="s">
        <v>410</v>
      </c>
      <c r="AH97" s="1" t="s">
        <v>6</v>
      </c>
      <c r="AI97" s="0" t="n">
        <v>17.829411</v>
      </c>
      <c r="AJ97" s="0" t="s">
        <v>15</v>
      </c>
      <c r="AK97" s="1" t="s">
        <v>6</v>
      </c>
      <c r="AL97" s="0" t="s">
        <v>258</v>
      </c>
      <c r="AM97" s="0" t="s">
        <v>253</v>
      </c>
      <c r="AN97" s="0" t="s">
        <v>254</v>
      </c>
      <c r="AO97" s="0" t="n">
        <v>8.897732</v>
      </c>
      <c r="AP97" s="0" t="n">
        <v>0</v>
      </c>
      <c r="AQ97" s="0" t="n">
        <v>-1</v>
      </c>
      <c r="AS97" s="2" t="str">
        <f aca="false">IF(AND(G97="true",J97="true",M97="true",P97="true",S97="true"),"true","false")</f>
        <v>false</v>
      </c>
      <c r="AT97" s="0" t="str">
        <f aca="false">IF(AND(Y97="true",AB97="true",AE97="true",AH97="true",AK97="true"),"true","false")</f>
        <v>false</v>
      </c>
    </row>
    <row r="98" customFormat="false" ht="12.8" hidden="false" customHeight="false" outlineLevel="0" collapsed="false">
      <c r="A98" s="0" t="s">
        <v>411</v>
      </c>
      <c r="B98" s="0" t="s">
        <v>1</v>
      </c>
      <c r="C98" s="0" t="s">
        <v>258</v>
      </c>
      <c r="D98" s="0" t="s">
        <v>254</v>
      </c>
      <c r="E98" s="0" t="n">
        <v>16.92719</v>
      </c>
      <c r="F98" s="0" t="s">
        <v>260</v>
      </c>
      <c r="G98" s="1" t="s">
        <v>5</v>
      </c>
      <c r="H98" s="0" t="n">
        <v>8.561485</v>
      </c>
      <c r="I98" s="0" t="s">
        <v>261</v>
      </c>
      <c r="J98" s="1" t="s">
        <v>5</v>
      </c>
      <c r="K98" s="0" t="n">
        <v>1.634868</v>
      </c>
      <c r="L98" s="0" t="s">
        <v>262</v>
      </c>
      <c r="M98" s="1" t="s">
        <v>5</v>
      </c>
      <c r="N98" s="0" t="n">
        <v>11.221341</v>
      </c>
      <c r="O98" s="0" t="s">
        <v>224</v>
      </c>
      <c r="P98" s="1" t="s">
        <v>5</v>
      </c>
      <c r="Q98" s="0" t="n">
        <v>7.316617</v>
      </c>
      <c r="R98" s="0" t="s">
        <v>9</v>
      </c>
      <c r="S98" s="1" t="s">
        <v>6</v>
      </c>
      <c r="T98" s="0" t="s">
        <v>10</v>
      </c>
      <c r="U98" s="0" t="s">
        <v>253</v>
      </c>
      <c r="V98" s="0" t="s">
        <v>254</v>
      </c>
      <c r="W98" s="0" t="n">
        <v>13.085605</v>
      </c>
      <c r="X98" s="0" t="s">
        <v>255</v>
      </c>
      <c r="Y98" s="1" t="s">
        <v>5</v>
      </c>
      <c r="Z98" s="0" t="n">
        <v>11.264676</v>
      </c>
      <c r="AA98" s="0" t="s">
        <v>264</v>
      </c>
      <c r="AB98" s="1" t="s">
        <v>6</v>
      </c>
      <c r="AC98" s="0" t="n">
        <v>10.239653</v>
      </c>
      <c r="AD98" s="0" t="s">
        <v>256</v>
      </c>
      <c r="AE98" s="1" t="s">
        <v>5</v>
      </c>
      <c r="AF98" s="0" t="n">
        <v>21.709211</v>
      </c>
      <c r="AG98" s="0" t="s">
        <v>276</v>
      </c>
      <c r="AH98" s="1" t="s">
        <v>6</v>
      </c>
      <c r="AI98" s="0" t="n">
        <v>17.773298</v>
      </c>
      <c r="AJ98" s="0" t="s">
        <v>9</v>
      </c>
      <c r="AK98" s="1" t="s">
        <v>5</v>
      </c>
      <c r="AL98" s="0" t="s">
        <v>258</v>
      </c>
      <c r="AM98" s="0" t="s">
        <v>253</v>
      </c>
      <c r="AN98" s="0" t="s">
        <v>254</v>
      </c>
      <c r="AO98" s="0" t="n">
        <v>10.216856</v>
      </c>
      <c r="AP98" s="0" t="n">
        <v>1</v>
      </c>
      <c r="AQ98" s="0" t="n">
        <v>1</v>
      </c>
      <c r="AS98" s="2" t="str">
        <f aca="false">IF(AND(G98="true",J98="true",M98="true",P98="true",S98="true"),"true","false")</f>
        <v>false</v>
      </c>
      <c r="AT98" s="0" t="str">
        <f aca="false">IF(AND(Y98="true",AB98="true",AE98="true",AH98="true",AK98="true"),"true","false")</f>
        <v>false</v>
      </c>
    </row>
    <row r="99" customFormat="false" ht="12.8" hidden="false" customHeight="false" outlineLevel="0" collapsed="false">
      <c r="A99" s="0" t="s">
        <v>412</v>
      </c>
      <c r="B99" s="0" t="s">
        <v>1</v>
      </c>
      <c r="C99" s="0" t="s">
        <v>253</v>
      </c>
      <c r="D99" s="0" t="s">
        <v>254</v>
      </c>
      <c r="E99" s="0" t="n">
        <v>43.254685</v>
      </c>
      <c r="F99" s="0" t="s">
        <v>255</v>
      </c>
      <c r="G99" s="1" t="s">
        <v>5</v>
      </c>
      <c r="H99" s="0" t="n">
        <v>19.025811</v>
      </c>
      <c r="I99" s="0" t="s">
        <v>255</v>
      </c>
      <c r="J99" s="1" t="s">
        <v>5</v>
      </c>
      <c r="K99" s="0" t="n">
        <v>9.332226</v>
      </c>
      <c r="L99" s="0" t="s">
        <v>256</v>
      </c>
      <c r="M99" s="1" t="s">
        <v>5</v>
      </c>
      <c r="N99" s="0" t="n">
        <v>25.733268</v>
      </c>
      <c r="O99" s="0" t="s">
        <v>257</v>
      </c>
      <c r="P99" s="1" t="s">
        <v>5</v>
      </c>
      <c r="Q99" s="0" t="n">
        <v>24.783624</v>
      </c>
      <c r="R99" s="0" t="s">
        <v>15</v>
      </c>
      <c r="S99" s="1" t="s">
        <v>6</v>
      </c>
      <c r="T99" s="0" t="s">
        <v>10</v>
      </c>
      <c r="U99" s="0" t="s">
        <v>258</v>
      </c>
      <c r="V99" s="0" t="s">
        <v>254</v>
      </c>
      <c r="W99" s="0" t="n">
        <v>40.388215</v>
      </c>
      <c r="X99" s="0" t="s">
        <v>260</v>
      </c>
      <c r="Y99" s="1" t="s">
        <v>5</v>
      </c>
      <c r="Z99" s="0" t="n">
        <v>54.617964</v>
      </c>
      <c r="AA99" s="0" t="s">
        <v>262</v>
      </c>
      <c r="AB99" s="1" t="s">
        <v>6</v>
      </c>
      <c r="AC99" s="0" t="n">
        <v>10.557663</v>
      </c>
      <c r="AD99" s="0" t="s">
        <v>261</v>
      </c>
      <c r="AE99" s="1" t="s">
        <v>6</v>
      </c>
      <c r="AF99" s="0" t="n">
        <v>57.439861</v>
      </c>
      <c r="AG99" s="0" t="s">
        <v>224</v>
      </c>
      <c r="AH99" s="1" t="s">
        <v>5</v>
      </c>
      <c r="AI99" s="0" t="n">
        <v>30.422716</v>
      </c>
      <c r="AJ99" s="0" t="s">
        <v>15</v>
      </c>
      <c r="AK99" s="1" t="s">
        <v>6</v>
      </c>
      <c r="AL99" s="0" t="s">
        <v>253</v>
      </c>
      <c r="AM99" s="0" t="s">
        <v>258</v>
      </c>
      <c r="AN99" s="0" t="s">
        <v>254</v>
      </c>
      <c r="AO99" s="0" t="n">
        <v>23.341573</v>
      </c>
      <c r="AP99" s="0" t="n">
        <v>0</v>
      </c>
      <c r="AQ99" s="0" t="n">
        <v>-1</v>
      </c>
      <c r="AS99" s="2" t="str">
        <f aca="false">IF(AND(G99="true",J99="true",M99="true",P99="true",S99="true"),"true","false")</f>
        <v>false</v>
      </c>
      <c r="AT99" s="0" t="str">
        <f aca="false">IF(AND(Y99="true",AB99="true",AE99="true",AH99="true",AK99="true"),"true","false")</f>
        <v>false</v>
      </c>
    </row>
    <row r="100" customFormat="false" ht="12.8" hidden="false" customHeight="false" outlineLevel="0" collapsed="false">
      <c r="A100" s="0" t="s">
        <v>413</v>
      </c>
      <c r="B100" s="0" t="s">
        <v>1</v>
      </c>
      <c r="C100" s="0" t="s">
        <v>253</v>
      </c>
      <c r="D100" s="0" t="s">
        <v>254</v>
      </c>
      <c r="E100" s="0" t="n">
        <v>30.330549</v>
      </c>
      <c r="F100" s="0" t="s">
        <v>255</v>
      </c>
      <c r="G100" s="1" t="s">
        <v>5</v>
      </c>
      <c r="H100" s="0" t="n">
        <v>33.753159</v>
      </c>
      <c r="I100" s="0" t="s">
        <v>256</v>
      </c>
      <c r="J100" s="1" t="s">
        <v>6</v>
      </c>
      <c r="K100" s="0" t="n">
        <v>23.439484</v>
      </c>
      <c r="L100" s="0" t="s">
        <v>256</v>
      </c>
      <c r="M100" s="1" t="s">
        <v>5</v>
      </c>
      <c r="N100" s="0" t="n">
        <v>28.866236</v>
      </c>
      <c r="O100" s="0" t="s">
        <v>257</v>
      </c>
      <c r="P100" s="1" t="s">
        <v>5</v>
      </c>
      <c r="Q100" s="0" t="n">
        <v>22.560182</v>
      </c>
      <c r="R100" s="0" t="s">
        <v>15</v>
      </c>
      <c r="S100" s="1" t="s">
        <v>6</v>
      </c>
      <c r="T100" s="0" t="s">
        <v>10</v>
      </c>
      <c r="U100" s="0" t="s">
        <v>258</v>
      </c>
      <c r="V100" s="0" t="s">
        <v>254</v>
      </c>
      <c r="W100" s="0" t="n">
        <v>19.065895</v>
      </c>
      <c r="X100" s="0" t="s">
        <v>260</v>
      </c>
      <c r="Y100" s="1" t="s">
        <v>5</v>
      </c>
      <c r="Z100" s="0" t="n">
        <v>16.051952</v>
      </c>
      <c r="AA100" s="0" t="s">
        <v>261</v>
      </c>
      <c r="AB100" s="1" t="s">
        <v>5</v>
      </c>
      <c r="AC100" s="0" t="n">
        <v>3.685478</v>
      </c>
      <c r="AD100" s="0" t="s">
        <v>262</v>
      </c>
      <c r="AE100" s="1" t="s">
        <v>5</v>
      </c>
      <c r="AF100" s="0" t="n">
        <v>34.015304</v>
      </c>
      <c r="AG100" s="0" t="s">
        <v>224</v>
      </c>
      <c r="AH100" s="1" t="s">
        <v>5</v>
      </c>
      <c r="AI100" s="0" t="n">
        <v>19.578293</v>
      </c>
      <c r="AJ100" s="0" t="s">
        <v>15</v>
      </c>
      <c r="AK100" s="1" t="s">
        <v>6</v>
      </c>
      <c r="AL100" s="0" t="s">
        <v>253</v>
      </c>
      <c r="AM100" s="0" t="s">
        <v>258</v>
      </c>
      <c r="AN100" s="0" t="s">
        <v>254</v>
      </c>
      <c r="AO100" s="0" t="n">
        <v>14.335656</v>
      </c>
      <c r="AP100" s="0" t="n">
        <v>1</v>
      </c>
      <c r="AQ100" s="0" t="n">
        <v>-1</v>
      </c>
      <c r="AS100" s="2" t="str">
        <f aca="false">IF(AND(G100="true",J100="true",M100="true",P100="true",S100="true"),"true","false")</f>
        <v>false</v>
      </c>
      <c r="AT100" s="0" t="str">
        <f aca="false">IF(AND(Y100="true",AB100="true",AE100="true",AH100="true",AK100="true"),"true","false")</f>
        <v>false</v>
      </c>
    </row>
    <row r="101" customFormat="false" ht="12.8" hidden="false" customHeight="false" outlineLevel="0" collapsed="false">
      <c r="A101" s="0" t="s">
        <v>414</v>
      </c>
      <c r="B101" s="0" t="s">
        <v>1</v>
      </c>
      <c r="C101" s="0" t="s">
        <v>253</v>
      </c>
      <c r="D101" s="0" t="s">
        <v>254</v>
      </c>
      <c r="E101" s="0" t="n">
        <v>74.404325</v>
      </c>
      <c r="F101" s="0" t="s">
        <v>255</v>
      </c>
      <c r="G101" s="1" t="s">
        <v>5</v>
      </c>
      <c r="H101" s="0" t="n">
        <v>21.482159</v>
      </c>
      <c r="I101" s="0" t="s">
        <v>255</v>
      </c>
      <c r="J101" s="1" t="s">
        <v>5</v>
      </c>
      <c r="K101" s="0" t="n">
        <v>7.106489</v>
      </c>
      <c r="L101" s="0" t="s">
        <v>256</v>
      </c>
      <c r="M101" s="1" t="s">
        <v>5</v>
      </c>
      <c r="N101" s="0" t="n">
        <v>18.38458</v>
      </c>
      <c r="O101" s="0" t="s">
        <v>257</v>
      </c>
      <c r="P101" s="1" t="s">
        <v>5</v>
      </c>
      <c r="Q101" s="0" t="n">
        <v>56.07489</v>
      </c>
      <c r="R101" s="0" t="s">
        <v>9</v>
      </c>
      <c r="S101" s="1" t="s">
        <v>6</v>
      </c>
      <c r="T101" s="0" t="s">
        <v>10</v>
      </c>
      <c r="U101" s="0" t="s">
        <v>258</v>
      </c>
      <c r="V101" s="0" t="s">
        <v>254</v>
      </c>
      <c r="W101" s="0" t="n">
        <v>20.155931</v>
      </c>
      <c r="X101" s="0" t="s">
        <v>260</v>
      </c>
      <c r="Y101" s="1" t="s">
        <v>5</v>
      </c>
      <c r="Z101" s="0" t="n">
        <v>99.778862</v>
      </c>
      <c r="AA101" s="0" t="s">
        <v>261</v>
      </c>
      <c r="AB101" s="1" t="s">
        <v>5</v>
      </c>
      <c r="AC101" s="0" t="n">
        <v>4.803442</v>
      </c>
      <c r="AD101" s="0" t="s">
        <v>262</v>
      </c>
      <c r="AE101" s="1" t="s">
        <v>5</v>
      </c>
      <c r="AF101" s="0" t="n">
        <v>24.872279</v>
      </c>
      <c r="AG101" s="0" t="s">
        <v>224</v>
      </c>
      <c r="AH101" s="1" t="s">
        <v>5</v>
      </c>
      <c r="AI101" s="0" t="n">
        <v>53.750795</v>
      </c>
      <c r="AJ101" s="0" t="s">
        <v>9</v>
      </c>
      <c r="AK101" s="1" t="s">
        <v>5</v>
      </c>
      <c r="AL101" s="0" t="s">
        <v>253</v>
      </c>
      <c r="AM101" s="0" t="s">
        <v>258</v>
      </c>
      <c r="AN101" s="0" t="s">
        <v>254</v>
      </c>
      <c r="AO101" s="0" t="n">
        <v>26.884634</v>
      </c>
      <c r="AP101" s="0" t="n">
        <v>0</v>
      </c>
      <c r="AQ101" s="0" t="n">
        <v>-1</v>
      </c>
      <c r="AR101" s="0" t="s">
        <v>415</v>
      </c>
      <c r="AS101" s="2" t="str">
        <f aca="false">IF(AND(G101="true",J101="true",M101="true",P101="true",S101="true"),"true","false")</f>
        <v>false</v>
      </c>
      <c r="AT101" s="0" t="str">
        <f aca="false">IF(AND(Y101="true",AB101="true",AE101="true",AH101="true",AK101="true"),"true","false")</f>
        <v>true</v>
      </c>
    </row>
    <row r="102" customFormat="false" ht="12.8" hidden="false" customHeight="false" outlineLevel="0" collapsed="false">
      <c r="A102" s="0" t="s">
        <v>416</v>
      </c>
      <c r="B102" s="0" t="s">
        <v>1</v>
      </c>
      <c r="C102" s="0" t="s">
        <v>253</v>
      </c>
      <c r="D102" s="0" t="s">
        <v>254</v>
      </c>
      <c r="E102" s="0" t="n">
        <v>51.888239</v>
      </c>
      <c r="F102" s="0" t="s">
        <v>255</v>
      </c>
      <c r="G102" s="1" t="s">
        <v>5</v>
      </c>
      <c r="H102" s="0" t="n">
        <v>19.008244</v>
      </c>
      <c r="I102" s="0" t="s">
        <v>255</v>
      </c>
      <c r="J102" s="1" t="s">
        <v>5</v>
      </c>
      <c r="K102" s="0" t="n">
        <v>7.106007</v>
      </c>
      <c r="L102" s="0" t="s">
        <v>256</v>
      </c>
      <c r="M102" s="1" t="s">
        <v>5</v>
      </c>
      <c r="N102" s="0" t="n">
        <v>74.941764</v>
      </c>
      <c r="O102" s="0" t="s">
        <v>328</v>
      </c>
      <c r="P102" s="1" t="s">
        <v>6</v>
      </c>
      <c r="Q102" s="0" t="n">
        <v>89.358154</v>
      </c>
      <c r="R102" s="0" t="s">
        <v>51</v>
      </c>
      <c r="S102" s="1" t="s">
        <v>5</v>
      </c>
      <c r="T102" s="0" t="s">
        <v>10</v>
      </c>
      <c r="U102" s="0" t="s">
        <v>258</v>
      </c>
      <c r="V102" s="0" t="s">
        <v>254</v>
      </c>
      <c r="W102" s="0" t="n">
        <v>26.896627</v>
      </c>
      <c r="X102" s="0" t="s">
        <v>260</v>
      </c>
      <c r="Y102" s="1" t="s">
        <v>5</v>
      </c>
      <c r="Z102" s="0" t="n">
        <v>22.257013</v>
      </c>
      <c r="AA102" s="0" t="s">
        <v>261</v>
      </c>
      <c r="AB102" s="1" t="s">
        <v>5</v>
      </c>
      <c r="AC102" s="0" t="n">
        <v>7.346708</v>
      </c>
      <c r="AD102" s="0" t="s">
        <v>262</v>
      </c>
      <c r="AE102" s="1" t="s">
        <v>5</v>
      </c>
      <c r="AF102" s="0" t="n">
        <v>52.028588</v>
      </c>
      <c r="AG102" s="0" t="s">
        <v>224</v>
      </c>
      <c r="AH102" s="1" t="s">
        <v>5</v>
      </c>
      <c r="AI102" s="0" t="n">
        <v>50.039151</v>
      </c>
      <c r="AJ102" s="0" t="s">
        <v>15</v>
      </c>
      <c r="AK102" s="1" t="s">
        <v>6</v>
      </c>
      <c r="AL102" s="0" t="s">
        <v>253</v>
      </c>
      <c r="AM102" s="0" t="s">
        <v>258</v>
      </c>
      <c r="AN102" s="0" t="s">
        <v>254</v>
      </c>
      <c r="AO102" s="0" t="n">
        <v>13.809643</v>
      </c>
      <c r="AP102" s="0" t="n">
        <v>0</v>
      </c>
      <c r="AQ102" s="0" t="n">
        <v>0</v>
      </c>
      <c r="AS102" s="2" t="str">
        <f aca="false">IF(AND(G102="true",J102="true",M102="true",P102="true",S102="true"),"true","false")</f>
        <v>false</v>
      </c>
      <c r="AT102" s="0" t="str">
        <f aca="false">IF(AND(Y102="true",AB102="true",AE102="true",AH102="true",AK102="true"),"true","false")</f>
        <v>false</v>
      </c>
    </row>
    <row r="103" customFormat="false" ht="12.8" hidden="false" customHeight="false" outlineLevel="0" collapsed="false">
      <c r="A103" s="0" t="s">
        <v>417</v>
      </c>
      <c r="B103" s="0" t="s">
        <v>1</v>
      </c>
      <c r="C103" s="0" t="s">
        <v>258</v>
      </c>
      <c r="D103" s="0" t="s">
        <v>254</v>
      </c>
      <c r="E103" s="0" t="n">
        <v>25.193856</v>
      </c>
      <c r="F103" s="0" t="s">
        <v>260</v>
      </c>
      <c r="G103" s="1" t="s">
        <v>5</v>
      </c>
      <c r="H103" s="0" t="n">
        <v>15.428873</v>
      </c>
      <c r="I103" s="0" t="s">
        <v>261</v>
      </c>
      <c r="J103" s="1" t="s">
        <v>5</v>
      </c>
      <c r="K103" s="0" t="n">
        <v>4.880669</v>
      </c>
      <c r="L103" s="0" t="s">
        <v>262</v>
      </c>
      <c r="M103" s="1" t="s">
        <v>5</v>
      </c>
      <c r="N103" s="0" t="n">
        <v>20.326539</v>
      </c>
      <c r="O103" s="0" t="s">
        <v>224</v>
      </c>
      <c r="P103" s="1" t="s">
        <v>5</v>
      </c>
      <c r="Q103" s="0" t="n">
        <v>29.86707</v>
      </c>
      <c r="R103" s="0" t="s">
        <v>9</v>
      </c>
      <c r="S103" s="1" t="s">
        <v>6</v>
      </c>
      <c r="T103" s="0" t="s">
        <v>10</v>
      </c>
      <c r="U103" s="0" t="s">
        <v>253</v>
      </c>
      <c r="V103" s="0" t="s">
        <v>254</v>
      </c>
      <c r="W103" s="0" t="n">
        <v>15.908287</v>
      </c>
      <c r="X103" s="0" t="s">
        <v>255</v>
      </c>
      <c r="Y103" s="1" t="s">
        <v>5</v>
      </c>
      <c r="Z103" s="0" t="n">
        <v>21.325365</v>
      </c>
      <c r="AA103" s="0" t="s">
        <v>255</v>
      </c>
      <c r="AB103" s="1" t="s">
        <v>5</v>
      </c>
      <c r="AC103" s="0" t="n">
        <v>2.648243</v>
      </c>
      <c r="AD103" s="0" t="s">
        <v>256</v>
      </c>
      <c r="AE103" s="1" t="s">
        <v>5</v>
      </c>
      <c r="AF103" s="0" t="n">
        <v>18.114734</v>
      </c>
      <c r="AG103" s="0" t="s">
        <v>257</v>
      </c>
      <c r="AH103" s="1" t="s">
        <v>5</v>
      </c>
      <c r="AI103" s="0" t="n">
        <v>57.012961</v>
      </c>
      <c r="AJ103" s="0" t="s">
        <v>9</v>
      </c>
      <c r="AK103" s="1" t="s">
        <v>5</v>
      </c>
      <c r="AL103" s="0" t="s">
        <v>258</v>
      </c>
      <c r="AM103" s="0" t="s">
        <v>253</v>
      </c>
      <c r="AN103" s="0" t="s">
        <v>254</v>
      </c>
      <c r="AO103" s="0" t="n">
        <v>12.71233</v>
      </c>
      <c r="AP103" s="0" t="n">
        <v>1</v>
      </c>
      <c r="AQ103" s="0" t="n">
        <v>-1</v>
      </c>
      <c r="AS103" s="2" t="str">
        <f aca="false">IF(AND(G103="true",J103="true",M103="true",P103="true",S103="true"),"true","false")</f>
        <v>false</v>
      </c>
      <c r="AT103" s="0" t="str">
        <f aca="false">IF(AND(Y103="true",AB103="true",AE103="true",AH103="true",AK103="true"),"true","false")</f>
        <v>true</v>
      </c>
    </row>
    <row r="104" customFormat="false" ht="12.8" hidden="false" customHeight="false" outlineLevel="0" collapsed="false">
      <c r="A104" s="0" t="s">
        <v>418</v>
      </c>
      <c r="B104" s="0" t="s">
        <v>1</v>
      </c>
      <c r="C104" s="0" t="s">
        <v>253</v>
      </c>
      <c r="D104" s="0" t="s">
        <v>254</v>
      </c>
      <c r="E104" s="0" t="n">
        <v>25.544664</v>
      </c>
      <c r="F104" s="0" t="s">
        <v>255</v>
      </c>
      <c r="G104" s="1" t="s">
        <v>5</v>
      </c>
      <c r="H104" s="0" t="n">
        <v>23.999632</v>
      </c>
      <c r="I104" s="0" t="s">
        <v>255</v>
      </c>
      <c r="J104" s="1" t="s">
        <v>5</v>
      </c>
      <c r="K104" s="0" t="n">
        <v>8.542621</v>
      </c>
      <c r="L104" s="0" t="s">
        <v>256</v>
      </c>
      <c r="M104" s="1" t="s">
        <v>5</v>
      </c>
      <c r="N104" s="0" t="n">
        <v>27.266624</v>
      </c>
      <c r="O104" s="0" t="s">
        <v>257</v>
      </c>
      <c r="P104" s="1" t="s">
        <v>5</v>
      </c>
      <c r="Q104" s="0" t="n">
        <v>23.009578</v>
      </c>
      <c r="R104" s="0" t="s">
        <v>15</v>
      </c>
      <c r="S104" s="1" t="s">
        <v>6</v>
      </c>
      <c r="T104" s="0" t="s">
        <v>10</v>
      </c>
      <c r="U104" s="0" t="s">
        <v>258</v>
      </c>
      <c r="V104" s="0" t="s">
        <v>254</v>
      </c>
      <c r="W104" s="0" t="n">
        <v>44.649312</v>
      </c>
      <c r="X104" s="0" t="s">
        <v>260</v>
      </c>
      <c r="Y104" s="1" t="s">
        <v>5</v>
      </c>
      <c r="Z104" s="0" t="n">
        <v>11.210648</v>
      </c>
      <c r="AA104" s="0" t="s">
        <v>261</v>
      </c>
      <c r="AB104" s="1" t="s">
        <v>5</v>
      </c>
      <c r="AC104" s="0" t="n">
        <v>8.762896</v>
      </c>
      <c r="AD104" s="0" t="s">
        <v>262</v>
      </c>
      <c r="AE104" s="1" t="s">
        <v>5</v>
      </c>
      <c r="AF104" s="0" t="n">
        <v>24.81922</v>
      </c>
      <c r="AG104" s="0" t="s">
        <v>224</v>
      </c>
      <c r="AH104" s="1" t="s">
        <v>5</v>
      </c>
      <c r="AI104" s="0" t="n">
        <v>8.293953</v>
      </c>
      <c r="AJ104" s="0" t="s">
        <v>9</v>
      </c>
      <c r="AK104" s="1" t="s">
        <v>5</v>
      </c>
      <c r="AL104" s="0" t="s">
        <v>253</v>
      </c>
      <c r="AM104" s="0" t="s">
        <v>258</v>
      </c>
      <c r="AN104" s="0" t="s">
        <v>254</v>
      </c>
      <c r="AO104" s="0" t="n">
        <v>6.20788</v>
      </c>
      <c r="AP104" s="0" t="n">
        <v>1</v>
      </c>
      <c r="AQ104" s="0" t="n">
        <v>1</v>
      </c>
      <c r="AS104" s="2" t="str">
        <f aca="false">IF(AND(G104="true",J104="true",M104="true",P104="true",S104="true"),"true","false")</f>
        <v>false</v>
      </c>
      <c r="AT104" s="0" t="str">
        <f aca="false">IF(AND(Y104="true",AB104="true",AE104="true",AH104="true",AK104="true"),"true","false")</f>
        <v>true</v>
      </c>
    </row>
    <row r="105" customFormat="false" ht="12.8" hidden="false" customHeight="false" outlineLevel="0" collapsed="false">
      <c r="A105" s="0" t="s">
        <v>419</v>
      </c>
      <c r="B105" s="0" t="s">
        <v>1</v>
      </c>
      <c r="C105" s="0" t="s">
        <v>258</v>
      </c>
      <c r="D105" s="0" t="s">
        <v>254</v>
      </c>
      <c r="E105" s="0" t="n">
        <v>36.640511</v>
      </c>
      <c r="F105" s="0" t="s">
        <v>260</v>
      </c>
      <c r="G105" s="1" t="s">
        <v>5</v>
      </c>
      <c r="H105" s="0" t="n">
        <v>14.95348</v>
      </c>
      <c r="I105" s="0" t="s">
        <v>262</v>
      </c>
      <c r="J105" s="1" t="s">
        <v>6</v>
      </c>
      <c r="K105" s="0" t="n">
        <v>12.571969</v>
      </c>
      <c r="L105" s="0" t="s">
        <v>262</v>
      </c>
      <c r="M105" s="1" t="s">
        <v>5</v>
      </c>
      <c r="N105" s="0" t="n">
        <v>13.490309</v>
      </c>
      <c r="O105" s="0" t="s">
        <v>47</v>
      </c>
      <c r="P105" s="1" t="s">
        <v>6</v>
      </c>
      <c r="Q105" s="0" t="n">
        <v>3.466455</v>
      </c>
      <c r="S105" s="1" t="s">
        <v>6</v>
      </c>
      <c r="T105" s="0" t="s">
        <v>10</v>
      </c>
      <c r="U105" s="0" t="s">
        <v>253</v>
      </c>
      <c r="V105" s="0" t="s">
        <v>254</v>
      </c>
      <c r="W105" s="0" t="n">
        <v>1.34219</v>
      </c>
      <c r="Y105" s="1" t="s">
        <v>6</v>
      </c>
      <c r="Z105" s="0" t="n">
        <v>2.719082</v>
      </c>
      <c r="AB105" s="1" t="s">
        <v>6</v>
      </c>
      <c r="AC105" s="0" t="n">
        <v>0.635398</v>
      </c>
      <c r="AE105" s="1" t="s">
        <v>6</v>
      </c>
      <c r="AF105" s="0" t="n">
        <v>0.726361</v>
      </c>
      <c r="AH105" s="1" t="s">
        <v>6</v>
      </c>
      <c r="AI105" s="0" t="n">
        <v>0.681369</v>
      </c>
      <c r="AK105" s="1" t="s">
        <v>6</v>
      </c>
      <c r="AL105" s="0" t="s">
        <v>258</v>
      </c>
      <c r="AM105" s="0" t="s">
        <v>253</v>
      </c>
      <c r="AN105" s="0" t="s">
        <v>254</v>
      </c>
      <c r="AO105" s="0" t="n">
        <v>3.351801</v>
      </c>
      <c r="AS105" s="2" t="str">
        <f aca="false">IF(AND(G105="true",J105="true",M105="true",P105="true",S105="true"),"true","false")</f>
        <v>false</v>
      </c>
      <c r="AT105" s="0" t="str">
        <f aca="false">IF(AND(Y105="true",AB105="true",AE105="true",AH105="true",AK105="true"),"true","false")</f>
        <v>false</v>
      </c>
    </row>
    <row r="106" customFormat="false" ht="12.8" hidden="false" customHeight="false" outlineLevel="0" collapsed="false">
      <c r="A106" s="0" t="s">
        <v>420</v>
      </c>
      <c r="B106" s="0" t="s">
        <v>1</v>
      </c>
      <c r="C106" s="0" t="s">
        <v>253</v>
      </c>
      <c r="D106" s="0" t="s">
        <v>254</v>
      </c>
      <c r="E106" s="0" t="n">
        <v>29.217044</v>
      </c>
      <c r="F106" s="0" t="s">
        <v>344</v>
      </c>
      <c r="G106" s="1" t="s">
        <v>6</v>
      </c>
      <c r="H106" s="0" t="n">
        <v>21.753133</v>
      </c>
      <c r="I106" s="0" t="s">
        <v>255</v>
      </c>
      <c r="J106" s="1" t="s">
        <v>5</v>
      </c>
      <c r="K106" s="0" t="n">
        <v>10.357785</v>
      </c>
      <c r="L106" s="0" t="s">
        <v>256</v>
      </c>
      <c r="M106" s="1" t="s">
        <v>5</v>
      </c>
      <c r="N106" s="0" t="n">
        <v>27.960428</v>
      </c>
      <c r="O106" s="0" t="s">
        <v>257</v>
      </c>
      <c r="P106" s="1" t="s">
        <v>5</v>
      </c>
      <c r="Q106" s="0" t="n">
        <v>30.920114</v>
      </c>
      <c r="R106" s="0" t="s">
        <v>9</v>
      </c>
      <c r="S106" s="1" t="s">
        <v>6</v>
      </c>
      <c r="T106" s="0" t="s">
        <v>10</v>
      </c>
      <c r="U106" s="0" t="s">
        <v>258</v>
      </c>
      <c r="V106" s="0" t="s">
        <v>254</v>
      </c>
      <c r="W106" s="0" t="n">
        <v>33.292444</v>
      </c>
      <c r="X106" s="0" t="s">
        <v>260</v>
      </c>
      <c r="Y106" s="1" t="s">
        <v>5</v>
      </c>
      <c r="Z106" s="0" t="n">
        <v>41.732433</v>
      </c>
      <c r="AA106" s="0" t="s">
        <v>261</v>
      </c>
      <c r="AB106" s="1" t="s">
        <v>5</v>
      </c>
      <c r="AC106" s="0" t="n">
        <v>7.700585</v>
      </c>
      <c r="AD106" s="0" t="s">
        <v>262</v>
      </c>
      <c r="AE106" s="1" t="s">
        <v>5</v>
      </c>
      <c r="AF106" s="0" t="n">
        <v>20.063464</v>
      </c>
      <c r="AG106" s="0" t="s">
        <v>224</v>
      </c>
      <c r="AH106" s="1" t="s">
        <v>5</v>
      </c>
      <c r="AI106" s="0" t="n">
        <v>21.064559</v>
      </c>
      <c r="AJ106" s="0" t="s">
        <v>9</v>
      </c>
      <c r="AK106" s="1" t="s">
        <v>5</v>
      </c>
      <c r="AL106" s="0" t="s">
        <v>253</v>
      </c>
      <c r="AM106" s="0" t="s">
        <v>258</v>
      </c>
      <c r="AN106" s="0" t="s">
        <v>254</v>
      </c>
      <c r="AO106" s="0" t="n">
        <v>27.578556</v>
      </c>
      <c r="AP106" s="0" t="n">
        <v>-2</v>
      </c>
      <c r="AQ106" s="0" t="n">
        <v>1</v>
      </c>
      <c r="AR106" s="0" t="s">
        <v>421</v>
      </c>
      <c r="AS106" s="2" t="str">
        <f aca="false">IF(AND(G106="true",J106="true",M106="true",P106="true",S106="true"),"true","false")</f>
        <v>false</v>
      </c>
      <c r="AT106" s="0" t="str">
        <f aca="false">IF(AND(Y106="true",AB106="true",AE106="true",AH106="true",AK106="true"),"true","false")</f>
        <v>true</v>
      </c>
    </row>
    <row r="107" customFormat="false" ht="12.8" hidden="false" customHeight="false" outlineLevel="0" collapsed="false">
      <c r="A107" s="0" t="s">
        <v>422</v>
      </c>
      <c r="B107" s="0" t="s">
        <v>1</v>
      </c>
      <c r="C107" s="0" t="s">
        <v>253</v>
      </c>
      <c r="D107" s="0" t="s">
        <v>254</v>
      </c>
      <c r="E107" s="0" t="n">
        <v>12.085165</v>
      </c>
      <c r="F107" s="0" t="s">
        <v>289</v>
      </c>
      <c r="G107" s="1" t="s">
        <v>6</v>
      </c>
      <c r="H107" s="0" t="n">
        <v>16.235845</v>
      </c>
      <c r="I107" s="0" t="s">
        <v>255</v>
      </c>
      <c r="J107" s="1" t="s">
        <v>5</v>
      </c>
      <c r="K107" s="0" t="n">
        <v>7.795111</v>
      </c>
      <c r="L107" s="0" t="s">
        <v>256</v>
      </c>
      <c r="M107" s="1" t="s">
        <v>5</v>
      </c>
      <c r="N107" s="0" t="n">
        <v>26.718116</v>
      </c>
      <c r="O107" s="0" t="s">
        <v>257</v>
      </c>
      <c r="P107" s="1" t="s">
        <v>5</v>
      </c>
      <c r="Q107" s="0" t="n">
        <v>4.278308</v>
      </c>
      <c r="R107" s="0" t="s">
        <v>15</v>
      </c>
      <c r="S107" s="1" t="s">
        <v>6</v>
      </c>
      <c r="T107" s="0" t="s">
        <v>10</v>
      </c>
      <c r="U107" s="0" t="s">
        <v>258</v>
      </c>
      <c r="V107" s="0" t="s">
        <v>254</v>
      </c>
      <c r="W107" s="0" t="n">
        <v>13.855362</v>
      </c>
      <c r="X107" s="0" t="s">
        <v>260</v>
      </c>
      <c r="Y107" s="1" t="s">
        <v>5</v>
      </c>
      <c r="Z107" s="0" t="n">
        <v>17.024241</v>
      </c>
      <c r="AA107" s="0" t="s">
        <v>261</v>
      </c>
      <c r="AB107" s="1" t="s">
        <v>5</v>
      </c>
      <c r="AC107" s="0" t="n">
        <v>6.242927</v>
      </c>
      <c r="AD107" s="0" t="s">
        <v>262</v>
      </c>
      <c r="AE107" s="1" t="s">
        <v>5</v>
      </c>
      <c r="AF107" s="0" t="n">
        <v>12.742597</v>
      </c>
      <c r="AG107" s="0" t="s">
        <v>47</v>
      </c>
      <c r="AH107" s="1" t="s">
        <v>6</v>
      </c>
      <c r="AI107" s="0" t="n">
        <v>4.891518</v>
      </c>
      <c r="AJ107" s="0" t="s">
        <v>9</v>
      </c>
      <c r="AK107" s="1" t="s">
        <v>5</v>
      </c>
      <c r="AL107" s="0" t="s">
        <v>253</v>
      </c>
      <c r="AM107" s="0" t="s">
        <v>258</v>
      </c>
      <c r="AN107" s="0" t="s">
        <v>254</v>
      </c>
      <c r="AO107" s="0" t="n">
        <v>6.052802</v>
      </c>
      <c r="AP107" s="0" t="n">
        <v>0</v>
      </c>
      <c r="AQ107" s="0" t="n">
        <v>1</v>
      </c>
      <c r="AS107" s="2" t="str">
        <f aca="false">IF(AND(G107="true",J107="true",M107="true",P107="true",S107="true"),"true","false")</f>
        <v>false</v>
      </c>
      <c r="AT107" s="0" t="str">
        <f aca="false">IF(AND(Y107="true",AB107="true",AE107="true",AH107="true",AK107="true"),"true","false")</f>
        <v>false</v>
      </c>
    </row>
    <row r="108" customFormat="false" ht="12.8" hidden="false" customHeight="false" outlineLevel="0" collapsed="false">
      <c r="A108" s="0" t="s">
        <v>423</v>
      </c>
      <c r="B108" s="0" t="s">
        <v>1</v>
      </c>
      <c r="C108" s="0" t="s">
        <v>253</v>
      </c>
      <c r="D108" s="0" t="s">
        <v>254</v>
      </c>
      <c r="E108" s="0" t="n">
        <v>21.523365</v>
      </c>
      <c r="F108" s="0" t="s">
        <v>255</v>
      </c>
      <c r="G108" s="1" t="s">
        <v>5</v>
      </c>
      <c r="H108" s="0" t="n">
        <v>22.822869</v>
      </c>
      <c r="I108" s="0" t="s">
        <v>255</v>
      </c>
      <c r="J108" s="1" t="s">
        <v>5</v>
      </c>
      <c r="K108" s="0" t="n">
        <v>10.534822</v>
      </c>
      <c r="L108" s="0" t="s">
        <v>256</v>
      </c>
      <c r="M108" s="1" t="s">
        <v>5</v>
      </c>
      <c r="N108" s="0" t="n">
        <v>13.992745</v>
      </c>
      <c r="O108" s="0" t="s">
        <v>276</v>
      </c>
      <c r="P108" s="1" t="s">
        <v>6</v>
      </c>
      <c r="Q108" s="0" t="n">
        <v>14.296079</v>
      </c>
      <c r="R108" s="0" t="s">
        <v>15</v>
      </c>
      <c r="S108" s="1" t="s">
        <v>6</v>
      </c>
      <c r="T108" s="0" t="s">
        <v>10</v>
      </c>
      <c r="U108" s="0" t="s">
        <v>258</v>
      </c>
      <c r="V108" s="0" t="s">
        <v>254</v>
      </c>
      <c r="W108" s="0" t="n">
        <v>18.621487</v>
      </c>
      <c r="X108" s="0" t="s">
        <v>260</v>
      </c>
      <c r="Y108" s="1" t="s">
        <v>5</v>
      </c>
      <c r="Z108" s="0" t="n">
        <v>12.361183</v>
      </c>
      <c r="AA108" s="0" t="s">
        <v>261</v>
      </c>
      <c r="AB108" s="1" t="s">
        <v>5</v>
      </c>
      <c r="AC108" s="0" t="n">
        <v>6.598271</v>
      </c>
      <c r="AD108" s="0" t="s">
        <v>262</v>
      </c>
      <c r="AE108" s="1" t="s">
        <v>5</v>
      </c>
      <c r="AF108" s="0" t="n">
        <v>40.580294</v>
      </c>
      <c r="AG108" s="0" t="s">
        <v>65</v>
      </c>
      <c r="AH108" s="1" t="s">
        <v>6</v>
      </c>
      <c r="AI108" s="0" t="n">
        <v>9.315903</v>
      </c>
      <c r="AJ108" s="0" t="s">
        <v>9</v>
      </c>
      <c r="AK108" s="1" t="s">
        <v>5</v>
      </c>
      <c r="AL108" s="0" t="s">
        <v>253</v>
      </c>
      <c r="AM108" s="0" t="s">
        <v>258</v>
      </c>
      <c r="AN108" s="0" t="s">
        <v>254</v>
      </c>
      <c r="AO108" s="0" t="n">
        <v>38.549471</v>
      </c>
      <c r="AP108" s="0" t="n">
        <v>0</v>
      </c>
      <c r="AQ108" s="0" t="n">
        <v>1</v>
      </c>
      <c r="AR108" s="0" t="s">
        <v>424</v>
      </c>
      <c r="AS108" s="2" t="str">
        <f aca="false">IF(AND(G108="true",J108="true",M108="true",P108="true",S108="true"),"true","false")</f>
        <v>false</v>
      </c>
      <c r="AT108" s="0" t="str">
        <f aca="false">IF(AND(Y108="true",AB108="true",AE108="true",AH108="true",AK108="true"),"true","false")</f>
        <v>false</v>
      </c>
    </row>
    <row r="109" customFormat="false" ht="12.8" hidden="false" customHeight="false" outlineLevel="0" collapsed="false">
      <c r="A109" s="0" t="s">
        <v>425</v>
      </c>
      <c r="B109" s="0" t="s">
        <v>1</v>
      </c>
      <c r="C109" s="0" t="s">
        <v>253</v>
      </c>
      <c r="D109" s="0" t="s">
        <v>254</v>
      </c>
      <c r="E109" s="0" t="n">
        <v>26.284693</v>
      </c>
      <c r="F109" s="0" t="s">
        <v>255</v>
      </c>
      <c r="G109" s="1" t="s">
        <v>5</v>
      </c>
      <c r="H109" s="0" t="n">
        <v>14.077823</v>
      </c>
      <c r="I109" s="0" t="s">
        <v>338</v>
      </c>
      <c r="J109" s="1" t="s">
        <v>6</v>
      </c>
      <c r="K109" s="0" t="n">
        <v>12.002507</v>
      </c>
      <c r="L109" s="0" t="s">
        <v>256</v>
      </c>
      <c r="M109" s="1" t="s">
        <v>5</v>
      </c>
      <c r="N109" s="0" t="n">
        <v>47.971092</v>
      </c>
      <c r="O109" s="0" t="s">
        <v>257</v>
      </c>
      <c r="P109" s="1" t="s">
        <v>5</v>
      </c>
      <c r="Q109" s="0" t="n">
        <v>33.615716</v>
      </c>
      <c r="R109" s="0" t="s">
        <v>15</v>
      </c>
      <c r="S109" s="1" t="s">
        <v>6</v>
      </c>
      <c r="T109" s="0" t="s">
        <v>10</v>
      </c>
      <c r="U109" s="0" t="s">
        <v>258</v>
      </c>
      <c r="V109" s="0" t="s">
        <v>254</v>
      </c>
      <c r="W109" s="0" t="n">
        <v>26.897391</v>
      </c>
      <c r="X109" s="0" t="s">
        <v>260</v>
      </c>
      <c r="Y109" s="1" t="s">
        <v>5</v>
      </c>
      <c r="Z109" s="0" t="n">
        <v>10.743615</v>
      </c>
      <c r="AA109" s="0" t="s">
        <v>261</v>
      </c>
      <c r="AB109" s="1" t="s">
        <v>5</v>
      </c>
      <c r="AC109" s="0" t="n">
        <v>7.768622</v>
      </c>
      <c r="AD109" s="0" t="s">
        <v>262</v>
      </c>
      <c r="AE109" s="1" t="s">
        <v>5</v>
      </c>
      <c r="AF109" s="0" t="n">
        <v>14.882849</v>
      </c>
      <c r="AG109" s="0" t="s">
        <v>294</v>
      </c>
      <c r="AH109" s="1" t="s">
        <v>6</v>
      </c>
      <c r="AI109" s="0" t="n">
        <v>12.510258</v>
      </c>
      <c r="AJ109" s="0" t="s">
        <v>15</v>
      </c>
      <c r="AK109" s="1" t="s">
        <v>6</v>
      </c>
      <c r="AL109" s="0" t="s">
        <v>253</v>
      </c>
      <c r="AM109" s="0" t="s">
        <v>258</v>
      </c>
      <c r="AN109" s="0" t="s">
        <v>254</v>
      </c>
      <c r="AO109" s="0" t="n">
        <v>16.888605</v>
      </c>
      <c r="AP109" s="0" t="n">
        <v>0</v>
      </c>
      <c r="AQ109" s="0" t="n">
        <v>2</v>
      </c>
      <c r="AS109" s="2" t="str">
        <f aca="false">IF(AND(G109="true",J109="true",M109="true",P109="true",S109="true"),"true","false")</f>
        <v>false</v>
      </c>
      <c r="AT109" s="0" t="str">
        <f aca="false">IF(AND(Y109="true",AB109="true",AE109="true",AH109="true",AK109="true"),"true","false")</f>
        <v>false</v>
      </c>
    </row>
    <row r="110" customFormat="false" ht="12.8" hidden="false" customHeight="false" outlineLevel="0" collapsed="false">
      <c r="A110" s="0" t="s">
        <v>426</v>
      </c>
      <c r="B110" s="0" t="s">
        <v>1</v>
      </c>
      <c r="C110" s="0" t="s">
        <v>258</v>
      </c>
      <c r="D110" s="0" t="s">
        <v>254</v>
      </c>
      <c r="E110" s="0" t="n">
        <v>41.073528</v>
      </c>
      <c r="F110" s="0" t="s">
        <v>260</v>
      </c>
      <c r="G110" s="1" t="s">
        <v>5</v>
      </c>
      <c r="H110" s="0" t="n">
        <v>9.248536</v>
      </c>
      <c r="I110" s="0" t="s">
        <v>261</v>
      </c>
      <c r="J110" s="1" t="s">
        <v>5</v>
      </c>
      <c r="K110" s="0" t="n">
        <v>4.318932</v>
      </c>
      <c r="L110" s="0" t="s">
        <v>262</v>
      </c>
      <c r="M110" s="1" t="s">
        <v>5</v>
      </c>
      <c r="N110" s="0" t="n">
        <v>25.307421</v>
      </c>
      <c r="O110" s="0" t="s">
        <v>224</v>
      </c>
      <c r="P110" s="1" t="s">
        <v>5</v>
      </c>
      <c r="Q110" s="0" t="n">
        <v>9.706742</v>
      </c>
      <c r="R110" s="0" t="s">
        <v>9</v>
      </c>
      <c r="S110" s="1" t="s">
        <v>6</v>
      </c>
      <c r="T110" s="0" t="s">
        <v>10</v>
      </c>
      <c r="U110" s="0" t="s">
        <v>253</v>
      </c>
      <c r="V110" s="0" t="s">
        <v>254</v>
      </c>
      <c r="W110" s="0" t="n">
        <v>64.580012</v>
      </c>
      <c r="X110" s="0" t="s">
        <v>427</v>
      </c>
      <c r="Y110" s="1" t="s">
        <v>6</v>
      </c>
      <c r="Z110" s="0" t="n">
        <v>31.941141</v>
      </c>
      <c r="AA110" s="0" t="s">
        <v>264</v>
      </c>
      <c r="AB110" s="1" t="s">
        <v>6</v>
      </c>
      <c r="AC110" s="0" t="n">
        <v>10.157976</v>
      </c>
      <c r="AD110" s="0" t="s">
        <v>256</v>
      </c>
      <c r="AE110" s="1" t="s">
        <v>5</v>
      </c>
      <c r="AF110" s="0" t="n">
        <v>19.517439</v>
      </c>
      <c r="AG110" s="0" t="s">
        <v>276</v>
      </c>
      <c r="AH110" s="1" t="s">
        <v>6</v>
      </c>
      <c r="AI110" s="0" t="n">
        <v>8.411443</v>
      </c>
      <c r="AJ110" s="0" t="s">
        <v>15</v>
      </c>
      <c r="AK110" s="1" t="s">
        <v>6</v>
      </c>
      <c r="AL110" s="0" t="s">
        <v>258</v>
      </c>
      <c r="AM110" s="0" t="s">
        <v>253</v>
      </c>
      <c r="AN110" s="0" t="s">
        <v>254</v>
      </c>
      <c r="AO110" s="0" t="n">
        <v>10.564896</v>
      </c>
      <c r="AP110" s="0" t="n">
        <v>1</v>
      </c>
      <c r="AQ110" s="0" t="n">
        <v>0</v>
      </c>
      <c r="AS110" s="2" t="str">
        <f aca="false">IF(AND(G110="true",J110="true",M110="true",P110="true",S110="true"),"true","false")</f>
        <v>false</v>
      </c>
      <c r="AT110" s="0" t="str">
        <f aca="false">IF(AND(Y110="true",AB110="true",AE110="true",AH110="true",AK110="true"),"true","false")</f>
        <v>false</v>
      </c>
    </row>
    <row r="111" customFormat="false" ht="12.8" hidden="false" customHeight="false" outlineLevel="0" collapsed="false">
      <c r="A111" s="0" t="s">
        <v>428</v>
      </c>
      <c r="B111" s="0" t="s">
        <v>1</v>
      </c>
      <c r="C111" s="0" t="s">
        <v>253</v>
      </c>
      <c r="D111" s="0" t="s">
        <v>254</v>
      </c>
      <c r="E111" s="0" t="n">
        <v>41.867164</v>
      </c>
      <c r="F111" s="0" t="s">
        <v>255</v>
      </c>
      <c r="G111" s="1" t="s">
        <v>5</v>
      </c>
      <c r="H111" s="0" t="n">
        <v>21.885658</v>
      </c>
      <c r="I111" s="0" t="s">
        <v>255</v>
      </c>
      <c r="J111" s="1" t="s">
        <v>5</v>
      </c>
      <c r="K111" s="0" t="n">
        <v>7.11858</v>
      </c>
      <c r="L111" s="0" t="s">
        <v>256</v>
      </c>
      <c r="M111" s="1" t="s">
        <v>5</v>
      </c>
      <c r="N111" s="0" t="n">
        <v>22.166812</v>
      </c>
      <c r="O111" s="0" t="s">
        <v>257</v>
      </c>
      <c r="P111" s="1" t="s">
        <v>5</v>
      </c>
      <c r="Q111" s="0" t="n">
        <v>67.542136</v>
      </c>
      <c r="R111" s="0" t="s">
        <v>15</v>
      </c>
      <c r="S111" s="1" t="s">
        <v>6</v>
      </c>
      <c r="T111" s="0" t="s">
        <v>10</v>
      </c>
      <c r="U111" s="0" t="s">
        <v>258</v>
      </c>
      <c r="V111" s="0" t="s">
        <v>254</v>
      </c>
      <c r="W111" s="0" t="n">
        <v>27.811702</v>
      </c>
      <c r="X111" s="0" t="s">
        <v>260</v>
      </c>
      <c r="Y111" s="1" t="s">
        <v>5</v>
      </c>
      <c r="Z111" s="0" t="n">
        <v>14.873345</v>
      </c>
      <c r="AA111" s="0" t="s">
        <v>261</v>
      </c>
      <c r="AB111" s="1" t="s">
        <v>5</v>
      </c>
      <c r="AC111" s="0" t="n">
        <v>11.135127</v>
      </c>
      <c r="AD111" s="0" t="s">
        <v>262</v>
      </c>
      <c r="AE111" s="1" t="s">
        <v>5</v>
      </c>
      <c r="AF111" s="0" t="n">
        <v>19.437656</v>
      </c>
      <c r="AG111" s="0" t="s">
        <v>224</v>
      </c>
      <c r="AH111" s="1" t="s">
        <v>5</v>
      </c>
      <c r="AI111" s="0" t="n">
        <v>23.005435</v>
      </c>
      <c r="AJ111" s="0" t="s">
        <v>9</v>
      </c>
      <c r="AK111" s="1" t="s">
        <v>5</v>
      </c>
      <c r="AL111" s="0" t="s">
        <v>253</v>
      </c>
      <c r="AM111" s="0" t="s">
        <v>258</v>
      </c>
      <c r="AN111" s="0" t="s">
        <v>254</v>
      </c>
      <c r="AO111" s="0" t="n">
        <v>6.813534</v>
      </c>
      <c r="AP111" s="0" t="n">
        <v>1</v>
      </c>
      <c r="AQ111" s="0" t="n">
        <v>1</v>
      </c>
      <c r="AS111" s="2" t="str">
        <f aca="false">IF(AND(G111="true",J111="true",M111="true",P111="true",S111="true"),"true","false")</f>
        <v>false</v>
      </c>
      <c r="AT111" s="0" t="str">
        <f aca="false">IF(AND(Y111="true",AB111="true",AE111="true",AH111="true",AK111="true"),"true","false")</f>
        <v>true</v>
      </c>
    </row>
    <row r="112" customFormat="false" ht="12.8" hidden="false" customHeight="false" outlineLevel="0" collapsed="false">
      <c r="A112" s="0" t="s">
        <v>429</v>
      </c>
      <c r="B112" s="0" t="s">
        <v>1</v>
      </c>
      <c r="C112" s="0" t="s">
        <v>253</v>
      </c>
      <c r="D112" s="0" t="s">
        <v>254</v>
      </c>
      <c r="E112" s="0" t="n">
        <v>46.020383</v>
      </c>
      <c r="F112" s="0" t="s">
        <v>344</v>
      </c>
      <c r="G112" s="1" t="s">
        <v>6</v>
      </c>
      <c r="H112" s="0" t="n">
        <v>35.024977</v>
      </c>
      <c r="I112" s="0" t="s">
        <v>255</v>
      </c>
      <c r="J112" s="1" t="s">
        <v>5</v>
      </c>
      <c r="K112" s="0" t="n">
        <v>14.003825</v>
      </c>
      <c r="L112" s="0" t="s">
        <v>256</v>
      </c>
      <c r="M112" s="1" t="s">
        <v>5</v>
      </c>
      <c r="N112" s="0" t="n">
        <v>30.609811</v>
      </c>
      <c r="O112" s="0" t="s">
        <v>257</v>
      </c>
      <c r="P112" s="1" t="s">
        <v>5</v>
      </c>
      <c r="Q112" s="0" t="n">
        <v>19.941192</v>
      </c>
      <c r="R112" s="0" t="s">
        <v>51</v>
      </c>
      <c r="S112" s="1" t="s">
        <v>5</v>
      </c>
      <c r="T112" s="0" t="s">
        <v>10</v>
      </c>
      <c r="U112" s="0" t="s">
        <v>258</v>
      </c>
      <c r="V112" s="0" t="s">
        <v>254</v>
      </c>
      <c r="W112" s="0" t="n">
        <v>45.749709</v>
      </c>
      <c r="X112" s="0" t="s">
        <v>260</v>
      </c>
      <c r="Y112" s="1" t="s">
        <v>5</v>
      </c>
      <c r="Z112" s="0" t="n">
        <v>23.606948</v>
      </c>
      <c r="AA112" s="0" t="s">
        <v>261</v>
      </c>
      <c r="AB112" s="1" t="s">
        <v>5</v>
      </c>
      <c r="AC112" s="0" t="n">
        <v>6.473146</v>
      </c>
      <c r="AD112" s="0" t="s">
        <v>262</v>
      </c>
      <c r="AE112" s="1" t="s">
        <v>5</v>
      </c>
      <c r="AF112" s="0" t="n">
        <v>25.359612</v>
      </c>
      <c r="AG112" s="0" t="s">
        <v>224</v>
      </c>
      <c r="AH112" s="1" t="s">
        <v>5</v>
      </c>
      <c r="AI112" s="0" t="n">
        <v>26.737632</v>
      </c>
      <c r="AJ112" s="0" t="s">
        <v>9</v>
      </c>
      <c r="AK112" s="1" t="s">
        <v>5</v>
      </c>
      <c r="AL112" s="0" t="s">
        <v>253</v>
      </c>
      <c r="AM112" s="0" t="s">
        <v>258</v>
      </c>
      <c r="AN112" s="0" t="s">
        <v>254</v>
      </c>
      <c r="AO112" s="0" t="n">
        <v>10.804672</v>
      </c>
      <c r="AP112" s="0" t="n">
        <v>1</v>
      </c>
      <c r="AQ112" s="0" t="n">
        <v>0</v>
      </c>
      <c r="AS112" s="2" t="str">
        <f aca="false">IF(AND(G112="true",J112="true",M112="true",P112="true",S112="true"),"true","false")</f>
        <v>false</v>
      </c>
      <c r="AT112" s="0" t="str">
        <f aca="false">IF(AND(Y112="true",AB112="true",AE112="true",AH112="true",AK112="true"),"true","false")</f>
        <v>true</v>
      </c>
    </row>
    <row r="113" customFormat="false" ht="12.8" hidden="false" customHeight="false" outlineLevel="0" collapsed="false">
      <c r="A113" s="0" t="s">
        <v>430</v>
      </c>
      <c r="B113" s="0" t="s">
        <v>1</v>
      </c>
      <c r="C113" s="0" t="s">
        <v>258</v>
      </c>
      <c r="D113" s="0" t="s">
        <v>254</v>
      </c>
      <c r="E113" s="0" t="n">
        <v>23.892712</v>
      </c>
      <c r="F113" s="0" t="s">
        <v>260</v>
      </c>
      <c r="G113" s="1" t="s">
        <v>5</v>
      </c>
      <c r="H113" s="0" t="n">
        <v>13.07224</v>
      </c>
      <c r="I113" s="0" t="s">
        <v>261</v>
      </c>
      <c r="J113" s="1" t="s">
        <v>5</v>
      </c>
      <c r="K113" s="0" t="n">
        <v>9.064301</v>
      </c>
      <c r="L113" s="0" t="s">
        <v>262</v>
      </c>
      <c r="M113" s="1" t="s">
        <v>5</v>
      </c>
      <c r="N113" s="0" t="n">
        <v>49.497094</v>
      </c>
      <c r="O113" s="0" t="s">
        <v>224</v>
      </c>
      <c r="P113" s="1" t="s">
        <v>5</v>
      </c>
      <c r="Q113" s="0" t="n">
        <v>8.450547</v>
      </c>
      <c r="R113" s="0" t="s">
        <v>9</v>
      </c>
      <c r="S113" s="1" t="s">
        <v>6</v>
      </c>
      <c r="T113" s="0" t="s">
        <v>10</v>
      </c>
      <c r="U113" s="0" t="s">
        <v>253</v>
      </c>
      <c r="V113" s="0" t="s">
        <v>254</v>
      </c>
      <c r="W113" s="0" t="n">
        <v>25.02174</v>
      </c>
      <c r="X113" s="0" t="s">
        <v>264</v>
      </c>
      <c r="Y113" s="1" t="s">
        <v>6</v>
      </c>
      <c r="Z113" s="0" t="n">
        <v>29.544195</v>
      </c>
      <c r="AA113" s="0" t="s">
        <v>264</v>
      </c>
      <c r="AB113" s="1" t="s">
        <v>6</v>
      </c>
      <c r="AC113" s="0" t="n">
        <v>55.718933</v>
      </c>
      <c r="AD113" s="0" t="s">
        <v>255</v>
      </c>
      <c r="AE113" s="1" t="s">
        <v>6</v>
      </c>
      <c r="AF113" s="0" t="n">
        <v>22.32341</v>
      </c>
      <c r="AG113" s="0" t="s">
        <v>257</v>
      </c>
      <c r="AH113" s="1" t="s">
        <v>5</v>
      </c>
      <c r="AI113" s="0" t="n">
        <v>29.344642</v>
      </c>
      <c r="AJ113" s="0" t="s">
        <v>15</v>
      </c>
      <c r="AK113" s="1" t="s">
        <v>6</v>
      </c>
      <c r="AL113" s="0" t="s">
        <v>258</v>
      </c>
      <c r="AM113" s="0" t="s">
        <v>253</v>
      </c>
      <c r="AN113" s="0" t="s">
        <v>254</v>
      </c>
      <c r="AO113" s="0" t="n">
        <v>18.101392</v>
      </c>
      <c r="AP113" s="0" t="n">
        <v>1</v>
      </c>
      <c r="AQ113" s="0" t="n">
        <v>1</v>
      </c>
      <c r="AR113" s="0" t="s">
        <v>431</v>
      </c>
      <c r="AS113" s="2" t="str">
        <f aca="false">IF(AND(G113="true",J113="true",M113="true",P113="true",S113="true"),"true","false")</f>
        <v>false</v>
      </c>
      <c r="AT113" s="0" t="str">
        <f aca="false">IF(AND(Y113="true",AB113="true",AE113="true",AH113="true",AK113="true"),"true","false")</f>
        <v>false</v>
      </c>
    </row>
    <row r="114" customFormat="false" ht="12.8" hidden="false" customHeight="false" outlineLevel="0" collapsed="false">
      <c r="A114" s="0" t="s">
        <v>432</v>
      </c>
      <c r="B114" s="0" t="s">
        <v>1</v>
      </c>
      <c r="C114" s="0" t="s">
        <v>258</v>
      </c>
      <c r="D114" s="0" t="s">
        <v>254</v>
      </c>
      <c r="E114" s="0" t="n">
        <v>33.796705</v>
      </c>
      <c r="F114" s="0" t="s">
        <v>260</v>
      </c>
      <c r="G114" s="1" t="s">
        <v>5</v>
      </c>
      <c r="H114" s="0" t="n">
        <v>20.129887</v>
      </c>
      <c r="I114" s="0" t="s">
        <v>261</v>
      </c>
      <c r="J114" s="1" t="s">
        <v>5</v>
      </c>
      <c r="K114" s="0" t="n">
        <v>12.830552</v>
      </c>
      <c r="L114" s="0" t="s">
        <v>262</v>
      </c>
      <c r="M114" s="1" t="s">
        <v>5</v>
      </c>
      <c r="N114" s="0" t="n">
        <v>26.215478</v>
      </c>
      <c r="O114" s="0" t="s">
        <v>224</v>
      </c>
      <c r="P114" s="1" t="s">
        <v>5</v>
      </c>
      <c r="Q114" s="0" t="n">
        <v>53.176189</v>
      </c>
      <c r="R114" s="0" t="s">
        <v>9</v>
      </c>
      <c r="S114" s="1" t="s">
        <v>6</v>
      </c>
      <c r="T114" s="0" t="s">
        <v>10</v>
      </c>
      <c r="U114" s="0" t="s">
        <v>253</v>
      </c>
      <c r="V114" s="0" t="s">
        <v>254</v>
      </c>
      <c r="W114" s="0" t="n">
        <v>43.792346</v>
      </c>
      <c r="X114" s="0" t="s">
        <v>255</v>
      </c>
      <c r="Y114" s="1" t="s">
        <v>5</v>
      </c>
      <c r="Z114" s="0" t="n">
        <v>45.912443</v>
      </c>
      <c r="AA114" s="0" t="s">
        <v>255</v>
      </c>
      <c r="AB114" s="1" t="s">
        <v>5</v>
      </c>
      <c r="AC114" s="0" t="n">
        <v>32.863157</v>
      </c>
      <c r="AD114" s="0" t="s">
        <v>256</v>
      </c>
      <c r="AE114" s="1" t="s">
        <v>5</v>
      </c>
      <c r="AF114" s="0" t="n">
        <v>17.687618</v>
      </c>
      <c r="AG114" s="0" t="s">
        <v>257</v>
      </c>
      <c r="AH114" s="1" t="s">
        <v>5</v>
      </c>
      <c r="AI114" s="0" t="n">
        <v>19.192508</v>
      </c>
      <c r="AJ114" s="0" t="s">
        <v>15</v>
      </c>
      <c r="AK114" s="1" t="s">
        <v>6</v>
      </c>
      <c r="AL114" s="0" t="s">
        <v>258</v>
      </c>
      <c r="AM114" s="0" t="s">
        <v>253</v>
      </c>
      <c r="AN114" s="0" t="s">
        <v>254</v>
      </c>
      <c r="AO114" s="0" t="n">
        <v>2.071003</v>
      </c>
      <c r="AS114" s="2" t="str">
        <f aca="false">IF(AND(G114="true",J114="true",M114="true",P114="true",S114="true"),"true","false")</f>
        <v>false</v>
      </c>
      <c r="AT114" s="0" t="str">
        <f aca="false">IF(AND(Y114="true",AB114="true",AE114="true",AH114="true",AK114="true"),"true","false")</f>
        <v>false</v>
      </c>
    </row>
    <row r="115" customFormat="false" ht="12.8" hidden="false" customHeight="false" outlineLevel="0" collapsed="false">
      <c r="A115" s="0" t="s">
        <v>433</v>
      </c>
      <c r="B115" s="0" t="s">
        <v>1</v>
      </c>
      <c r="C115" s="0" t="s">
        <v>258</v>
      </c>
      <c r="D115" s="0" t="s">
        <v>254</v>
      </c>
      <c r="E115" s="0" t="n">
        <v>20.050229</v>
      </c>
      <c r="F115" s="0" t="s">
        <v>260</v>
      </c>
      <c r="G115" s="1" t="s">
        <v>5</v>
      </c>
      <c r="H115" s="0" t="n">
        <v>16.149935</v>
      </c>
      <c r="I115" s="0" t="s">
        <v>261</v>
      </c>
      <c r="J115" s="1" t="s">
        <v>5</v>
      </c>
      <c r="K115" s="0" t="n">
        <v>7.353191</v>
      </c>
      <c r="L115" s="0" t="s">
        <v>262</v>
      </c>
      <c r="M115" s="1" t="s">
        <v>5</v>
      </c>
      <c r="N115" s="0" t="n">
        <v>20.102135</v>
      </c>
      <c r="O115" s="0" t="s">
        <v>224</v>
      </c>
      <c r="P115" s="1" t="s">
        <v>5</v>
      </c>
      <c r="Q115" s="0" t="n">
        <v>25.220119</v>
      </c>
      <c r="R115" s="0" t="s">
        <v>15</v>
      </c>
      <c r="S115" s="1" t="s">
        <v>6</v>
      </c>
      <c r="T115" s="0" t="s">
        <v>10</v>
      </c>
      <c r="U115" s="0" t="s">
        <v>253</v>
      </c>
      <c r="V115" s="0" t="s">
        <v>254</v>
      </c>
      <c r="W115" s="0" t="n">
        <v>17.876016</v>
      </c>
      <c r="X115" s="0" t="s">
        <v>255</v>
      </c>
      <c r="Y115" s="1" t="s">
        <v>5</v>
      </c>
      <c r="Z115" s="0" t="n">
        <v>7.103339</v>
      </c>
      <c r="AA115" s="0" t="s">
        <v>264</v>
      </c>
      <c r="AB115" s="1" t="s">
        <v>6</v>
      </c>
      <c r="AC115" s="0" t="n">
        <v>10.701685</v>
      </c>
      <c r="AD115" s="0" t="s">
        <v>256</v>
      </c>
      <c r="AE115" s="1" t="s">
        <v>5</v>
      </c>
      <c r="AF115" s="0" t="n">
        <v>46.752712</v>
      </c>
      <c r="AG115" s="0" t="s">
        <v>257</v>
      </c>
      <c r="AH115" s="1" t="s">
        <v>5</v>
      </c>
      <c r="AI115" s="0" t="n">
        <v>19.335192</v>
      </c>
      <c r="AJ115" s="0" t="s">
        <v>15</v>
      </c>
      <c r="AK115" s="1" t="s">
        <v>6</v>
      </c>
      <c r="AL115" s="0" t="s">
        <v>258</v>
      </c>
      <c r="AM115" s="0" t="s">
        <v>253</v>
      </c>
      <c r="AN115" s="0" t="s">
        <v>254</v>
      </c>
      <c r="AO115" s="0" t="n">
        <v>8.142987</v>
      </c>
      <c r="AP115" s="0" t="n">
        <v>0</v>
      </c>
      <c r="AQ115" s="0" t="n">
        <v>1</v>
      </c>
      <c r="AS115" s="2" t="str">
        <f aca="false">IF(AND(G115="true",J115="true",M115="true",P115="true",S115="true"),"true","false")</f>
        <v>false</v>
      </c>
      <c r="AT115" s="0" t="str">
        <f aca="false">IF(AND(Y115="true",AB115="true",AE115="true",AH115="true",AK115="true"),"true","false")</f>
        <v>false</v>
      </c>
    </row>
    <row r="116" customFormat="false" ht="12.8" hidden="false" customHeight="false" outlineLevel="0" collapsed="false">
      <c r="A116" s="0" t="s">
        <v>434</v>
      </c>
      <c r="B116" s="0" t="s">
        <v>1</v>
      </c>
      <c r="C116" s="0" t="s">
        <v>258</v>
      </c>
      <c r="D116" s="0" t="s">
        <v>254</v>
      </c>
      <c r="E116" s="0" t="n">
        <v>18.438515</v>
      </c>
      <c r="F116" s="0" t="s">
        <v>260</v>
      </c>
      <c r="G116" s="1" t="s">
        <v>5</v>
      </c>
      <c r="H116" s="0" t="n">
        <v>9.569937</v>
      </c>
      <c r="I116" s="0" t="s">
        <v>262</v>
      </c>
      <c r="J116" s="1" t="s">
        <v>6</v>
      </c>
      <c r="K116" s="0" t="n">
        <v>8.686651</v>
      </c>
      <c r="L116" s="0" t="s">
        <v>262</v>
      </c>
      <c r="M116" s="1" t="s">
        <v>5</v>
      </c>
      <c r="N116" s="0" t="n">
        <v>10.841134</v>
      </c>
      <c r="O116" s="0" t="s">
        <v>224</v>
      </c>
      <c r="P116" s="1" t="s">
        <v>5</v>
      </c>
      <c r="Q116" s="0" t="n">
        <v>18.158493</v>
      </c>
      <c r="R116" s="0" t="s">
        <v>9</v>
      </c>
      <c r="S116" s="1" t="s">
        <v>6</v>
      </c>
      <c r="T116" s="0" t="s">
        <v>10</v>
      </c>
      <c r="U116" s="0" t="s">
        <v>253</v>
      </c>
      <c r="V116" s="0" t="s">
        <v>254</v>
      </c>
      <c r="W116" s="0" t="n">
        <v>31.372107</v>
      </c>
      <c r="X116" s="0" t="s">
        <v>255</v>
      </c>
      <c r="Y116" s="1" t="s">
        <v>5</v>
      </c>
      <c r="Z116" s="0" t="n">
        <v>17.200803</v>
      </c>
      <c r="AA116" s="0" t="s">
        <v>256</v>
      </c>
      <c r="AB116" s="1" t="s">
        <v>6</v>
      </c>
      <c r="AC116" s="0" t="n">
        <v>10.723836</v>
      </c>
      <c r="AD116" s="0" t="s">
        <v>255</v>
      </c>
      <c r="AE116" s="1" t="s">
        <v>6</v>
      </c>
      <c r="AF116" s="0" t="n">
        <v>20.241667</v>
      </c>
      <c r="AG116" s="0" t="s">
        <v>276</v>
      </c>
      <c r="AH116" s="1" t="s">
        <v>6</v>
      </c>
      <c r="AI116" s="0" t="n">
        <v>27.196142</v>
      </c>
      <c r="AJ116" s="0" t="s">
        <v>9</v>
      </c>
      <c r="AK116" s="1" t="s">
        <v>5</v>
      </c>
      <c r="AL116" s="0" t="s">
        <v>258</v>
      </c>
      <c r="AM116" s="0" t="s">
        <v>253</v>
      </c>
      <c r="AN116" s="0" t="s">
        <v>254</v>
      </c>
      <c r="AO116" s="0" t="n">
        <v>6.166306</v>
      </c>
      <c r="AP116" s="0" t="n">
        <v>0</v>
      </c>
      <c r="AQ116" s="0" t="n">
        <v>1</v>
      </c>
      <c r="AS116" s="2" t="str">
        <f aca="false">IF(AND(G116="true",J116="true",M116="true",P116="true",S116="true"),"true","false")</f>
        <v>false</v>
      </c>
      <c r="AT116" s="0" t="str">
        <f aca="false">IF(AND(Y116="true",AB116="true",AE116="true",AH116="true",AK116="true"),"true","false")</f>
        <v>false</v>
      </c>
    </row>
    <row r="117" customFormat="false" ht="12.8" hidden="false" customHeight="false" outlineLevel="0" collapsed="false">
      <c r="A117" s="0" t="s">
        <v>435</v>
      </c>
      <c r="B117" s="0" t="s">
        <v>1</v>
      </c>
      <c r="C117" s="0" t="s">
        <v>253</v>
      </c>
      <c r="D117" s="0" t="s">
        <v>254</v>
      </c>
      <c r="E117" s="0" t="n">
        <v>29.806172</v>
      </c>
      <c r="F117" s="0" t="s">
        <v>255</v>
      </c>
      <c r="G117" s="1" t="s">
        <v>5</v>
      </c>
      <c r="H117" s="0" t="n">
        <v>32.283402</v>
      </c>
      <c r="I117" s="0" t="s">
        <v>256</v>
      </c>
      <c r="J117" s="1" t="s">
        <v>6</v>
      </c>
      <c r="K117" s="0" t="n">
        <v>11.322186</v>
      </c>
      <c r="L117" s="0" t="s">
        <v>255</v>
      </c>
      <c r="M117" s="1" t="s">
        <v>6</v>
      </c>
      <c r="N117" s="0" t="n">
        <v>15.596925</v>
      </c>
      <c r="O117" s="0" t="s">
        <v>257</v>
      </c>
      <c r="P117" s="1" t="s">
        <v>5</v>
      </c>
      <c r="Q117" s="0" t="n">
        <v>32.94864</v>
      </c>
      <c r="R117" s="0" t="s">
        <v>9</v>
      </c>
      <c r="S117" s="1" t="s">
        <v>6</v>
      </c>
      <c r="T117" s="0" t="s">
        <v>10</v>
      </c>
      <c r="U117" s="0" t="s">
        <v>258</v>
      </c>
      <c r="V117" s="0" t="s">
        <v>254</v>
      </c>
      <c r="W117" s="0" t="n">
        <v>35.469432</v>
      </c>
      <c r="X117" s="0" t="s">
        <v>331</v>
      </c>
      <c r="Y117" s="1" t="s">
        <v>6</v>
      </c>
      <c r="Z117" s="0" t="n">
        <v>23.181754</v>
      </c>
      <c r="AA117" s="0" t="s">
        <v>261</v>
      </c>
      <c r="AB117" s="1" t="s">
        <v>5</v>
      </c>
      <c r="AC117" s="0" t="n">
        <v>15.29245</v>
      </c>
      <c r="AD117" s="0" t="s">
        <v>262</v>
      </c>
      <c r="AE117" s="1" t="s">
        <v>5</v>
      </c>
      <c r="AF117" s="0" t="n">
        <v>14.858058</v>
      </c>
      <c r="AG117" s="0" t="s">
        <v>294</v>
      </c>
      <c r="AH117" s="1" t="s">
        <v>6</v>
      </c>
      <c r="AI117" s="0" t="n">
        <v>33.833286</v>
      </c>
      <c r="AJ117" s="0" t="s">
        <v>15</v>
      </c>
      <c r="AK117" s="1" t="s">
        <v>6</v>
      </c>
      <c r="AL117" s="0" t="s">
        <v>253</v>
      </c>
      <c r="AM117" s="0" t="s">
        <v>258</v>
      </c>
      <c r="AN117" s="0" t="s">
        <v>254</v>
      </c>
      <c r="AO117" s="0" t="n">
        <v>11.738925</v>
      </c>
      <c r="AP117" s="0" t="n">
        <v>1</v>
      </c>
      <c r="AQ117" s="0" t="n">
        <v>-1</v>
      </c>
      <c r="AS117" s="2" t="str">
        <f aca="false">IF(AND(G117="true",J117="true",M117="true",P117="true",S117="true"),"true","false")</f>
        <v>false</v>
      </c>
      <c r="AT117" s="0" t="str">
        <f aca="false">IF(AND(Y117="true",AB117="true",AE117="true",AH117="true",AK117="true"),"true","false")</f>
        <v>false</v>
      </c>
    </row>
    <row r="118" customFormat="false" ht="12.8" hidden="false" customHeight="false" outlineLevel="0" collapsed="false">
      <c r="A118" s="0" t="s">
        <v>436</v>
      </c>
      <c r="B118" s="0" t="s">
        <v>1</v>
      </c>
      <c r="C118" s="0" t="s">
        <v>253</v>
      </c>
      <c r="D118" s="0" t="s">
        <v>254</v>
      </c>
      <c r="E118" s="0" t="n">
        <v>33.02696</v>
      </c>
      <c r="F118" s="0" t="s">
        <v>255</v>
      </c>
      <c r="G118" s="1" t="s">
        <v>5</v>
      </c>
      <c r="H118" s="0" t="n">
        <v>21.023969</v>
      </c>
      <c r="I118" s="0" t="s">
        <v>255</v>
      </c>
      <c r="J118" s="1" t="s">
        <v>5</v>
      </c>
      <c r="K118" s="0" t="n">
        <v>11.298995</v>
      </c>
      <c r="L118" s="0" t="s">
        <v>256</v>
      </c>
      <c r="M118" s="1" t="s">
        <v>5</v>
      </c>
      <c r="N118" s="0" t="n">
        <v>30.184032</v>
      </c>
      <c r="O118" s="0" t="s">
        <v>257</v>
      </c>
      <c r="P118" s="1" t="s">
        <v>5</v>
      </c>
      <c r="Q118" s="0" t="n">
        <v>71.669114</v>
      </c>
      <c r="R118" s="0" t="s">
        <v>15</v>
      </c>
      <c r="S118" s="1" t="s">
        <v>6</v>
      </c>
      <c r="T118" s="0" t="s">
        <v>10</v>
      </c>
      <c r="U118" s="0" t="s">
        <v>258</v>
      </c>
      <c r="V118" s="0" t="s">
        <v>254</v>
      </c>
      <c r="W118" s="0" t="n">
        <v>24.302714</v>
      </c>
      <c r="X118" s="0" t="s">
        <v>260</v>
      </c>
      <c r="Y118" s="1" t="s">
        <v>5</v>
      </c>
      <c r="Z118" s="0" t="n">
        <v>19.206528</v>
      </c>
      <c r="AA118" s="0" t="s">
        <v>262</v>
      </c>
      <c r="AB118" s="1" t="s">
        <v>6</v>
      </c>
      <c r="AC118" s="0" t="n">
        <v>7.493095</v>
      </c>
      <c r="AD118" s="0" t="s">
        <v>261</v>
      </c>
      <c r="AE118" s="1" t="s">
        <v>6</v>
      </c>
      <c r="AF118" s="0" t="n">
        <v>24.226486</v>
      </c>
      <c r="AG118" s="0" t="s">
        <v>224</v>
      </c>
      <c r="AH118" s="1" t="s">
        <v>5</v>
      </c>
      <c r="AI118" s="0" t="n">
        <v>26.062435</v>
      </c>
      <c r="AJ118" s="0" t="s">
        <v>15</v>
      </c>
      <c r="AK118" s="1" t="s">
        <v>6</v>
      </c>
      <c r="AL118" s="0" t="s">
        <v>253</v>
      </c>
      <c r="AM118" s="0" t="s">
        <v>258</v>
      </c>
      <c r="AN118" s="0" t="s">
        <v>254</v>
      </c>
      <c r="AO118" s="0" t="n">
        <v>23.072398</v>
      </c>
      <c r="AP118" s="0" t="n">
        <v>0</v>
      </c>
      <c r="AQ118" s="0" t="n">
        <v>2</v>
      </c>
      <c r="AS118" s="2" t="str">
        <f aca="false">IF(AND(G118="true",J118="true",M118="true",P118="true",S118="true"),"true","false")</f>
        <v>false</v>
      </c>
      <c r="AT118" s="0" t="str">
        <f aca="false">IF(AND(Y118="true",AB118="true",AE118="true",AH118="true",AK118="true"),"true","false")</f>
        <v>false</v>
      </c>
    </row>
    <row r="119" customFormat="false" ht="12.8" hidden="false" customHeight="false" outlineLevel="0" collapsed="false">
      <c r="A119" s="0" t="s">
        <v>437</v>
      </c>
      <c r="B119" s="0" t="s">
        <v>1</v>
      </c>
      <c r="C119" s="0" t="s">
        <v>253</v>
      </c>
      <c r="D119" s="0" t="s">
        <v>254</v>
      </c>
      <c r="E119" s="0" t="n">
        <v>20.418501</v>
      </c>
      <c r="F119" s="0" t="s">
        <v>255</v>
      </c>
      <c r="G119" s="1" t="s">
        <v>5</v>
      </c>
      <c r="H119" s="0" t="n">
        <v>16.741575</v>
      </c>
      <c r="I119" s="0" t="s">
        <v>255</v>
      </c>
      <c r="J119" s="1" t="s">
        <v>5</v>
      </c>
      <c r="K119" s="0" t="n">
        <v>12.277884</v>
      </c>
      <c r="L119" s="0" t="s">
        <v>256</v>
      </c>
      <c r="M119" s="1" t="s">
        <v>5</v>
      </c>
      <c r="N119" s="0" t="n">
        <v>32.606279</v>
      </c>
      <c r="O119" s="0" t="s">
        <v>257</v>
      </c>
      <c r="P119" s="1" t="s">
        <v>5</v>
      </c>
      <c r="Q119" s="0" t="n">
        <v>45.106459</v>
      </c>
      <c r="R119" s="0" t="s">
        <v>15</v>
      </c>
      <c r="S119" s="1" t="s">
        <v>6</v>
      </c>
      <c r="T119" s="0" t="s">
        <v>10</v>
      </c>
      <c r="U119" s="0" t="s">
        <v>258</v>
      </c>
      <c r="V119" s="0" t="s">
        <v>254</v>
      </c>
      <c r="W119" s="0" t="n">
        <v>18.563489</v>
      </c>
      <c r="X119" s="0" t="s">
        <v>260</v>
      </c>
      <c r="Y119" s="1" t="s">
        <v>5</v>
      </c>
      <c r="Z119" s="0" t="n">
        <v>13.98914</v>
      </c>
      <c r="AA119" s="0" t="s">
        <v>261</v>
      </c>
      <c r="AB119" s="1" t="s">
        <v>5</v>
      </c>
      <c r="AC119" s="0" t="n">
        <v>6.810517</v>
      </c>
      <c r="AD119" s="0" t="s">
        <v>262</v>
      </c>
      <c r="AE119" s="1" t="s">
        <v>5</v>
      </c>
      <c r="AF119" s="0" t="n">
        <v>23.078902</v>
      </c>
      <c r="AG119" s="0" t="s">
        <v>224</v>
      </c>
      <c r="AH119" s="1" t="s">
        <v>5</v>
      </c>
      <c r="AI119" s="0" t="n">
        <v>19.853021</v>
      </c>
      <c r="AJ119" s="0" t="s">
        <v>9</v>
      </c>
      <c r="AK119" s="1" t="s">
        <v>5</v>
      </c>
      <c r="AL119" s="0" t="s">
        <v>253</v>
      </c>
      <c r="AM119" s="0" t="s">
        <v>258</v>
      </c>
      <c r="AN119" s="0" t="s">
        <v>254</v>
      </c>
      <c r="AO119" s="0" t="n">
        <v>10.836351</v>
      </c>
      <c r="AP119" s="0" t="n">
        <v>1</v>
      </c>
      <c r="AQ119" s="0" t="n">
        <v>2</v>
      </c>
      <c r="AS119" s="2" t="str">
        <f aca="false">IF(AND(G119="true",J119="true",M119="true",P119="true",S119="true"),"true","false")</f>
        <v>false</v>
      </c>
      <c r="AT119" s="0" t="str">
        <f aca="false">IF(AND(Y119="true",AB119="true",AE119="true",AH119="true",AK119="true"),"true","false")</f>
        <v>true</v>
      </c>
    </row>
    <row r="120" customFormat="false" ht="12.8" hidden="false" customHeight="false" outlineLevel="0" collapsed="false">
      <c r="A120" s="0" t="s">
        <v>438</v>
      </c>
      <c r="B120" s="0" t="s">
        <v>1</v>
      </c>
      <c r="C120" s="0" t="s">
        <v>253</v>
      </c>
      <c r="D120" s="0" t="s">
        <v>254</v>
      </c>
      <c r="E120" s="0" t="n">
        <v>40.836666</v>
      </c>
      <c r="F120" s="0" t="s">
        <v>255</v>
      </c>
      <c r="G120" s="1" t="s">
        <v>5</v>
      </c>
      <c r="H120" s="0" t="n">
        <v>17.197502</v>
      </c>
      <c r="I120" s="0" t="s">
        <v>255</v>
      </c>
      <c r="J120" s="1" t="s">
        <v>5</v>
      </c>
      <c r="K120" s="0" t="n">
        <v>5.591625</v>
      </c>
      <c r="L120" s="0" t="s">
        <v>256</v>
      </c>
      <c r="M120" s="1" t="s">
        <v>5</v>
      </c>
      <c r="N120" s="0" t="n">
        <v>20.140703</v>
      </c>
      <c r="O120" s="0" t="s">
        <v>257</v>
      </c>
      <c r="P120" s="1" t="s">
        <v>5</v>
      </c>
      <c r="Q120" s="0" t="n">
        <v>46.676194</v>
      </c>
      <c r="R120" s="0" t="s">
        <v>15</v>
      </c>
      <c r="S120" s="1" t="s">
        <v>6</v>
      </c>
      <c r="T120" s="0" t="s">
        <v>10</v>
      </c>
      <c r="U120" s="0" t="s">
        <v>258</v>
      </c>
      <c r="V120" s="0" t="s">
        <v>254</v>
      </c>
      <c r="W120" s="0" t="n">
        <v>25.710162</v>
      </c>
      <c r="X120" s="0" t="s">
        <v>260</v>
      </c>
      <c r="Y120" s="1" t="s">
        <v>5</v>
      </c>
      <c r="Z120" s="0" t="n">
        <v>8.290812</v>
      </c>
      <c r="AA120" s="0" t="s">
        <v>261</v>
      </c>
      <c r="AB120" s="1" t="s">
        <v>5</v>
      </c>
      <c r="AC120" s="0" t="n">
        <v>2.46726</v>
      </c>
      <c r="AD120" s="0" t="s">
        <v>262</v>
      </c>
      <c r="AE120" s="1" t="s">
        <v>5</v>
      </c>
      <c r="AF120" s="0" t="n">
        <v>15.802622</v>
      </c>
      <c r="AG120" s="0" t="s">
        <v>224</v>
      </c>
      <c r="AH120" s="1" t="s">
        <v>5</v>
      </c>
      <c r="AI120" s="0" t="n">
        <v>14.503028</v>
      </c>
      <c r="AJ120" s="0" t="s">
        <v>9</v>
      </c>
      <c r="AK120" s="1" t="s">
        <v>5</v>
      </c>
      <c r="AL120" s="0" t="s">
        <v>253</v>
      </c>
      <c r="AM120" s="0" t="s">
        <v>258</v>
      </c>
      <c r="AN120" s="0" t="s">
        <v>254</v>
      </c>
      <c r="AO120" s="0" t="n">
        <v>67.97971</v>
      </c>
      <c r="AP120" s="0" t="n">
        <v>1</v>
      </c>
      <c r="AQ120" s="0" t="n">
        <v>2</v>
      </c>
      <c r="AR120" s="0" t="s">
        <v>439</v>
      </c>
      <c r="AS120" s="2" t="str">
        <f aca="false">IF(AND(G120="true",J120="true",M120="true",P120="true",S120="true"),"true","false")</f>
        <v>false</v>
      </c>
      <c r="AT120" s="0" t="str">
        <f aca="false">IF(AND(Y120="true",AB120="true",AE120="true",AH120="true",AK120="true"),"true","false")</f>
        <v>true</v>
      </c>
    </row>
    <row r="121" customFormat="false" ht="12.8" hidden="false" customHeight="false" outlineLevel="0" collapsed="false">
      <c r="A121" s="0" t="s">
        <v>440</v>
      </c>
      <c r="B121" s="0" t="s">
        <v>1</v>
      </c>
      <c r="C121" s="0" t="s">
        <v>258</v>
      </c>
      <c r="D121" s="0" t="s">
        <v>254</v>
      </c>
      <c r="E121" s="0" t="n">
        <v>16.42116</v>
      </c>
      <c r="F121" s="0" t="s">
        <v>260</v>
      </c>
      <c r="G121" s="1" t="s">
        <v>5</v>
      </c>
      <c r="H121" s="0" t="n">
        <v>5.687419</v>
      </c>
      <c r="I121" s="0" t="s">
        <v>261</v>
      </c>
      <c r="J121" s="1" t="s">
        <v>5</v>
      </c>
      <c r="K121" s="0" t="n">
        <v>5.736487</v>
      </c>
      <c r="L121" s="0" t="s">
        <v>262</v>
      </c>
      <c r="M121" s="1" t="s">
        <v>5</v>
      </c>
      <c r="N121" s="0" t="n">
        <v>30.231791</v>
      </c>
      <c r="O121" s="0" t="s">
        <v>441</v>
      </c>
      <c r="P121" s="1" t="s">
        <v>6</v>
      </c>
      <c r="Q121" s="0" t="n">
        <v>23.794938</v>
      </c>
      <c r="R121" s="0" t="s">
        <v>9</v>
      </c>
      <c r="S121" s="1" t="s">
        <v>6</v>
      </c>
      <c r="T121" s="0" t="s">
        <v>10</v>
      </c>
      <c r="U121" s="0" t="s">
        <v>253</v>
      </c>
      <c r="V121" s="0" t="s">
        <v>254</v>
      </c>
      <c r="W121" s="0" t="n">
        <v>20.651404</v>
      </c>
      <c r="X121" s="0" t="s">
        <v>255</v>
      </c>
      <c r="Y121" s="1" t="s">
        <v>5</v>
      </c>
      <c r="Z121" s="0" t="n">
        <v>10.593691</v>
      </c>
      <c r="AA121" s="0" t="s">
        <v>264</v>
      </c>
      <c r="AB121" s="1" t="s">
        <v>6</v>
      </c>
      <c r="AC121" s="0" t="n">
        <v>12.893767</v>
      </c>
      <c r="AD121" s="0" t="s">
        <v>256</v>
      </c>
      <c r="AE121" s="1" t="s">
        <v>5</v>
      </c>
      <c r="AF121" s="0" t="n">
        <v>22.410017</v>
      </c>
      <c r="AG121" s="0" t="s">
        <v>276</v>
      </c>
      <c r="AH121" s="1" t="s">
        <v>6</v>
      </c>
      <c r="AI121" s="0" t="n">
        <v>25.812706</v>
      </c>
      <c r="AJ121" s="0" t="s">
        <v>9</v>
      </c>
      <c r="AK121" s="1" t="s">
        <v>5</v>
      </c>
      <c r="AL121" s="0" t="s">
        <v>258</v>
      </c>
      <c r="AM121" s="0" t="s">
        <v>253</v>
      </c>
      <c r="AN121" s="0" t="s">
        <v>254</v>
      </c>
      <c r="AO121" s="0" t="n">
        <v>7.247164</v>
      </c>
      <c r="AP121" s="0" t="n">
        <v>0</v>
      </c>
      <c r="AQ121" s="0" t="n">
        <v>0</v>
      </c>
      <c r="AS121" s="2" t="str">
        <f aca="false">IF(AND(G121="true",J121="true",M121="true",P121="true",S121="true"),"true","false")</f>
        <v>false</v>
      </c>
      <c r="AT121" s="0" t="str">
        <f aca="false">IF(AND(Y121="true",AB121="true",AE121="true",AH121="true",AK121="true"),"true","false")</f>
        <v>false</v>
      </c>
    </row>
    <row r="122" customFormat="false" ht="12.8" hidden="false" customHeight="false" outlineLevel="0" collapsed="false">
      <c r="A122" s="0" t="s">
        <v>442</v>
      </c>
      <c r="B122" s="0" t="s">
        <v>1</v>
      </c>
      <c r="C122" s="0" t="s">
        <v>253</v>
      </c>
      <c r="D122" s="0" t="s">
        <v>254</v>
      </c>
      <c r="E122" s="0" t="n">
        <v>30.066501</v>
      </c>
      <c r="F122" s="0" t="s">
        <v>255</v>
      </c>
      <c r="G122" s="1" t="s">
        <v>5</v>
      </c>
      <c r="H122" s="0" t="n">
        <v>32.415973</v>
      </c>
      <c r="I122" s="0" t="s">
        <v>255</v>
      </c>
      <c r="J122" s="1" t="s">
        <v>5</v>
      </c>
      <c r="K122" s="0" t="n">
        <v>11.852657</v>
      </c>
      <c r="L122" s="0" t="s">
        <v>256</v>
      </c>
      <c r="M122" s="1" t="s">
        <v>5</v>
      </c>
      <c r="N122" s="0" t="n">
        <v>38.252234</v>
      </c>
      <c r="O122" s="0" t="s">
        <v>257</v>
      </c>
      <c r="P122" s="1" t="s">
        <v>5</v>
      </c>
      <c r="Q122" s="0" t="n">
        <v>23.358972</v>
      </c>
      <c r="R122" s="0" t="s">
        <v>9</v>
      </c>
      <c r="S122" s="1" t="s">
        <v>6</v>
      </c>
      <c r="T122" s="0" t="s">
        <v>10</v>
      </c>
      <c r="U122" s="0" t="s">
        <v>258</v>
      </c>
      <c r="V122" s="0" t="s">
        <v>254</v>
      </c>
      <c r="W122" s="0" t="n">
        <v>17.357751</v>
      </c>
      <c r="X122" s="0" t="s">
        <v>443</v>
      </c>
      <c r="Y122" s="1" t="s">
        <v>6</v>
      </c>
      <c r="Z122" s="0" t="n">
        <v>12.174972</v>
      </c>
      <c r="AA122" s="0" t="s">
        <v>444</v>
      </c>
      <c r="AB122" s="1" t="s">
        <v>6</v>
      </c>
      <c r="AC122" s="0" t="n">
        <v>12.272814</v>
      </c>
      <c r="AD122" s="0" t="s">
        <v>445</v>
      </c>
      <c r="AE122" s="1" t="s">
        <v>6</v>
      </c>
      <c r="AF122" s="0" t="n">
        <v>1.904438</v>
      </c>
      <c r="AH122" s="1" t="s">
        <v>6</v>
      </c>
      <c r="AI122" s="0" t="n">
        <v>6.314846</v>
      </c>
      <c r="AJ122" s="0" t="s">
        <v>15</v>
      </c>
      <c r="AK122" s="1" t="s">
        <v>6</v>
      </c>
      <c r="AL122" s="0" t="s">
        <v>253</v>
      </c>
      <c r="AM122" s="0" t="s">
        <v>258</v>
      </c>
      <c r="AN122" s="0" t="s">
        <v>254</v>
      </c>
      <c r="AO122" s="0" t="n">
        <v>1.27408</v>
      </c>
      <c r="AS122" s="2" t="str">
        <f aca="false">IF(AND(G122="true",J122="true",M122="true",P122="true",S122="true"),"true","false")</f>
        <v>false</v>
      </c>
      <c r="AT122" s="0" t="str">
        <f aca="false">IF(AND(Y122="true",AB122="true",AE122="true",AH122="true",AK122="true"),"true","false")</f>
        <v>false</v>
      </c>
    </row>
    <row r="123" customFormat="false" ht="12.8" hidden="false" customHeight="false" outlineLevel="0" collapsed="false">
      <c r="A123" s="0" t="s">
        <v>446</v>
      </c>
      <c r="B123" s="0" t="s">
        <v>1</v>
      </c>
      <c r="C123" s="0" t="s">
        <v>253</v>
      </c>
      <c r="D123" s="0" t="s">
        <v>254</v>
      </c>
      <c r="E123" s="0" t="n">
        <v>48.36416</v>
      </c>
      <c r="F123" s="0" t="s">
        <v>255</v>
      </c>
      <c r="G123" s="1" t="s">
        <v>5</v>
      </c>
      <c r="H123" s="0" t="n">
        <v>24.20617</v>
      </c>
      <c r="I123" s="0" t="s">
        <v>256</v>
      </c>
      <c r="J123" s="1" t="s">
        <v>6</v>
      </c>
      <c r="K123" s="0" t="n">
        <v>19.913306</v>
      </c>
      <c r="L123" s="0" t="s">
        <v>255</v>
      </c>
      <c r="M123" s="1" t="s">
        <v>6</v>
      </c>
      <c r="N123" s="0" t="n">
        <v>25.222293</v>
      </c>
      <c r="O123" s="0" t="s">
        <v>257</v>
      </c>
      <c r="P123" s="1" t="s">
        <v>5</v>
      </c>
      <c r="Q123" s="0" t="n">
        <v>21.523676</v>
      </c>
      <c r="R123" s="0" t="s">
        <v>51</v>
      </c>
      <c r="S123" s="1" t="s">
        <v>5</v>
      </c>
      <c r="T123" s="0" t="s">
        <v>10</v>
      </c>
      <c r="U123" s="0" t="s">
        <v>258</v>
      </c>
      <c r="V123" s="0" t="s">
        <v>254</v>
      </c>
      <c r="W123" s="0" t="n">
        <v>3.226406</v>
      </c>
      <c r="X123" s="0" t="s">
        <v>447</v>
      </c>
      <c r="Y123" s="1" t="s">
        <v>6</v>
      </c>
      <c r="Z123" s="0" t="n">
        <v>1.578085</v>
      </c>
      <c r="AA123" s="0" t="s">
        <v>448</v>
      </c>
      <c r="AB123" s="1" t="s">
        <v>6</v>
      </c>
      <c r="AC123" s="0" t="n">
        <v>1.25414</v>
      </c>
      <c r="AD123" s="0" t="s">
        <v>447</v>
      </c>
      <c r="AE123" s="1" t="s">
        <v>6</v>
      </c>
      <c r="AF123" s="0" t="n">
        <v>1.406893</v>
      </c>
      <c r="AG123" s="0" t="s">
        <v>449</v>
      </c>
      <c r="AH123" s="1" t="s">
        <v>6</v>
      </c>
      <c r="AI123" s="0" t="n">
        <v>3.038035</v>
      </c>
      <c r="AJ123" s="0" t="s">
        <v>9</v>
      </c>
      <c r="AK123" s="1" t="s">
        <v>5</v>
      </c>
      <c r="AL123" s="0" t="s">
        <v>253</v>
      </c>
      <c r="AM123" s="0" t="s">
        <v>258</v>
      </c>
      <c r="AN123" s="0" t="s">
        <v>254</v>
      </c>
      <c r="AO123" s="0" t="n">
        <v>11.732646</v>
      </c>
      <c r="AP123" s="0" t="n">
        <v>-1</v>
      </c>
      <c r="AQ123" s="0" t="n">
        <v>0</v>
      </c>
      <c r="AR123" s="0" t="s">
        <v>450</v>
      </c>
      <c r="AS123" s="2" t="str">
        <f aca="false">IF(AND(G123="true",J123="true",M123="true",P123="true",S123="true"),"true","false")</f>
        <v>false</v>
      </c>
      <c r="AT123" s="0" t="str">
        <f aca="false">IF(AND(Y123="true",AB123="true",AE123="true",AH123="true",AK123="true"),"true","false")</f>
        <v>false</v>
      </c>
    </row>
    <row r="124" customFormat="false" ht="12.8" hidden="false" customHeight="false" outlineLevel="0" collapsed="false">
      <c r="A124" s="0" t="s">
        <v>451</v>
      </c>
      <c r="B124" s="0" t="s">
        <v>1</v>
      </c>
      <c r="C124" s="0" t="s">
        <v>258</v>
      </c>
      <c r="D124" s="0" t="s">
        <v>254</v>
      </c>
      <c r="E124" s="0" t="n">
        <v>34.399628</v>
      </c>
      <c r="F124" s="0" t="s">
        <v>260</v>
      </c>
      <c r="G124" s="1" t="s">
        <v>5</v>
      </c>
      <c r="H124" s="0" t="n">
        <v>25.098737</v>
      </c>
      <c r="I124" s="0" t="s">
        <v>261</v>
      </c>
      <c r="J124" s="1" t="s">
        <v>5</v>
      </c>
      <c r="K124" s="0" t="n">
        <v>6.982946</v>
      </c>
      <c r="L124" s="0" t="s">
        <v>262</v>
      </c>
      <c r="M124" s="1" t="s">
        <v>5</v>
      </c>
      <c r="N124" s="0" t="n">
        <v>44.333943</v>
      </c>
      <c r="O124" s="0" t="s">
        <v>224</v>
      </c>
      <c r="P124" s="1" t="s">
        <v>5</v>
      </c>
      <c r="Q124" s="0" t="n">
        <v>9.740938</v>
      </c>
      <c r="R124" s="0" t="s">
        <v>15</v>
      </c>
      <c r="S124" s="1" t="s">
        <v>6</v>
      </c>
      <c r="T124" s="0" t="s">
        <v>10</v>
      </c>
      <c r="U124" s="0" t="s">
        <v>253</v>
      </c>
      <c r="V124" s="0" t="s">
        <v>254</v>
      </c>
      <c r="W124" s="0" t="n">
        <v>19.8816</v>
      </c>
      <c r="X124" s="0" t="s">
        <v>255</v>
      </c>
      <c r="Y124" s="1" t="s">
        <v>5</v>
      </c>
      <c r="Z124" s="0" t="n">
        <v>14.486696</v>
      </c>
      <c r="AA124" s="0" t="s">
        <v>264</v>
      </c>
      <c r="AB124" s="1" t="s">
        <v>6</v>
      </c>
      <c r="AC124" s="0" t="n">
        <v>9.100957</v>
      </c>
      <c r="AD124" s="0" t="s">
        <v>256</v>
      </c>
      <c r="AE124" s="1" t="s">
        <v>5</v>
      </c>
      <c r="AF124" s="0" t="n">
        <v>41.656615</v>
      </c>
      <c r="AG124" s="0" t="s">
        <v>257</v>
      </c>
      <c r="AH124" s="1" t="s">
        <v>5</v>
      </c>
      <c r="AI124" s="0" t="n">
        <v>25.364893</v>
      </c>
      <c r="AJ124" s="0" t="s">
        <v>15</v>
      </c>
      <c r="AK124" s="1" t="s">
        <v>6</v>
      </c>
      <c r="AL124" s="0" t="s">
        <v>258</v>
      </c>
      <c r="AM124" s="0" t="s">
        <v>253</v>
      </c>
      <c r="AN124" s="0" t="s">
        <v>254</v>
      </c>
      <c r="AO124" s="0" t="n">
        <v>9.23964</v>
      </c>
      <c r="AP124" s="0" t="n">
        <v>1</v>
      </c>
      <c r="AQ124" s="0" t="n">
        <v>-1</v>
      </c>
      <c r="AS124" s="2" t="str">
        <f aca="false">IF(AND(G124="true",J124="true",M124="true",P124="true",S124="true"),"true","false")</f>
        <v>false</v>
      </c>
      <c r="AT124" s="0" t="str">
        <f aca="false">IF(AND(Y124="true",AB124="true",AE124="true",AH124="true",AK124="true"),"true","false")</f>
        <v>false</v>
      </c>
    </row>
    <row r="125" customFormat="false" ht="12.8" hidden="false" customHeight="false" outlineLevel="0" collapsed="false">
      <c r="A125" s="0" t="s">
        <v>452</v>
      </c>
      <c r="B125" s="0" t="s">
        <v>1</v>
      </c>
      <c r="C125" s="0" t="s">
        <v>258</v>
      </c>
      <c r="D125" s="0" t="s">
        <v>254</v>
      </c>
      <c r="E125" s="0" t="n">
        <v>29.679293</v>
      </c>
      <c r="F125" s="0" t="s">
        <v>260</v>
      </c>
      <c r="G125" s="1" t="s">
        <v>5</v>
      </c>
      <c r="H125" s="0" t="n">
        <v>11.525175</v>
      </c>
      <c r="I125" s="0" t="s">
        <v>261</v>
      </c>
      <c r="J125" s="1" t="s">
        <v>5</v>
      </c>
      <c r="K125" s="0" t="n">
        <v>5.596533</v>
      </c>
      <c r="L125" s="0" t="s">
        <v>262</v>
      </c>
      <c r="M125" s="1" t="s">
        <v>5</v>
      </c>
      <c r="N125" s="0" t="n">
        <v>22.723674</v>
      </c>
      <c r="O125" s="0" t="s">
        <v>224</v>
      </c>
      <c r="P125" s="1" t="s">
        <v>5</v>
      </c>
      <c r="Q125" s="0" t="n">
        <v>12.194115</v>
      </c>
      <c r="R125" s="0" t="s">
        <v>15</v>
      </c>
      <c r="S125" s="1" t="s">
        <v>6</v>
      </c>
      <c r="T125" s="0" t="s">
        <v>10</v>
      </c>
      <c r="U125" s="0" t="s">
        <v>253</v>
      </c>
      <c r="V125" s="0" t="s">
        <v>254</v>
      </c>
      <c r="W125" s="0" t="n">
        <v>22.362705</v>
      </c>
      <c r="X125" s="0" t="s">
        <v>255</v>
      </c>
      <c r="Y125" s="1" t="s">
        <v>5</v>
      </c>
      <c r="Z125" s="0" t="n">
        <v>12.478024</v>
      </c>
      <c r="AA125" s="0" t="s">
        <v>255</v>
      </c>
      <c r="AB125" s="1" t="s">
        <v>5</v>
      </c>
      <c r="AC125" s="0" t="n">
        <v>8.487929</v>
      </c>
      <c r="AD125" s="0" t="s">
        <v>256</v>
      </c>
      <c r="AE125" s="1" t="s">
        <v>5</v>
      </c>
      <c r="AF125" s="0" t="n">
        <v>40.79707</v>
      </c>
      <c r="AG125" s="0" t="s">
        <v>257</v>
      </c>
      <c r="AH125" s="1" t="s">
        <v>5</v>
      </c>
      <c r="AI125" s="0" t="n">
        <v>17.71682</v>
      </c>
      <c r="AJ125" s="0" t="s">
        <v>15</v>
      </c>
      <c r="AK125" s="1" t="s">
        <v>6</v>
      </c>
      <c r="AL125" s="0" t="s">
        <v>258</v>
      </c>
      <c r="AM125" s="0" t="s">
        <v>253</v>
      </c>
      <c r="AN125" s="0" t="s">
        <v>254</v>
      </c>
      <c r="AO125" s="0" t="n">
        <v>26.228899</v>
      </c>
      <c r="AP125" s="0" t="n">
        <v>0</v>
      </c>
      <c r="AQ125" s="0" t="n">
        <v>-1</v>
      </c>
      <c r="AS125" s="2" t="str">
        <f aca="false">IF(AND(G125="true",J125="true",M125="true",P125="true",S125="true"),"true","false")</f>
        <v>false</v>
      </c>
      <c r="AT125" s="0" t="str">
        <f aca="false">IF(AND(Y125="true",AB125="true",AE125="true",AH125="true",AK125="true"),"true","false")</f>
        <v>false</v>
      </c>
    </row>
    <row r="126" customFormat="false" ht="12.8" hidden="false" customHeight="false" outlineLevel="0" collapsed="false">
      <c r="A126" s="0" t="s">
        <v>453</v>
      </c>
      <c r="B126" s="0" t="s">
        <v>1</v>
      </c>
      <c r="C126" s="0" t="s">
        <v>258</v>
      </c>
      <c r="D126" s="0" t="s">
        <v>254</v>
      </c>
      <c r="E126" s="0" t="n">
        <v>17.924135</v>
      </c>
      <c r="F126" s="0" t="s">
        <v>260</v>
      </c>
      <c r="G126" s="1" t="s">
        <v>5</v>
      </c>
      <c r="H126" s="0" t="n">
        <v>14.932832</v>
      </c>
      <c r="I126" s="0" t="s">
        <v>261</v>
      </c>
      <c r="J126" s="1" t="s">
        <v>5</v>
      </c>
      <c r="K126" s="0" t="n">
        <v>10.914881</v>
      </c>
      <c r="L126" s="0" t="s">
        <v>262</v>
      </c>
      <c r="M126" s="1" t="s">
        <v>5</v>
      </c>
      <c r="N126" s="0" t="n">
        <v>39.625263</v>
      </c>
      <c r="O126" s="0" t="s">
        <v>224</v>
      </c>
      <c r="P126" s="1" t="s">
        <v>5</v>
      </c>
      <c r="Q126" s="0" t="n">
        <v>9.157353</v>
      </c>
      <c r="R126" s="0" t="s">
        <v>9</v>
      </c>
      <c r="S126" s="1" t="s">
        <v>6</v>
      </c>
      <c r="T126" s="0" t="s">
        <v>10</v>
      </c>
      <c r="U126" s="0" t="s">
        <v>253</v>
      </c>
      <c r="V126" s="0" t="s">
        <v>254</v>
      </c>
      <c r="W126" s="0" t="n">
        <v>22.72566</v>
      </c>
      <c r="X126" s="0" t="s">
        <v>255</v>
      </c>
      <c r="Y126" s="1" t="s">
        <v>5</v>
      </c>
      <c r="Z126" s="0" t="n">
        <v>18.990575</v>
      </c>
      <c r="AA126" s="0" t="s">
        <v>264</v>
      </c>
      <c r="AB126" s="1" t="s">
        <v>6</v>
      </c>
      <c r="AC126" s="0" t="n">
        <v>70.787512</v>
      </c>
      <c r="AE126" s="1" t="s">
        <v>6</v>
      </c>
      <c r="AF126" s="0" t="n">
        <v>64.578858</v>
      </c>
      <c r="AG126" s="0" t="s">
        <v>257</v>
      </c>
      <c r="AH126" s="1" t="s">
        <v>5</v>
      </c>
      <c r="AI126" s="0" t="n">
        <v>7.593099</v>
      </c>
      <c r="AJ126" s="0" t="s">
        <v>9</v>
      </c>
      <c r="AK126" s="1" t="s">
        <v>5</v>
      </c>
      <c r="AL126" s="0" t="s">
        <v>258</v>
      </c>
      <c r="AM126" s="0" t="s">
        <v>253</v>
      </c>
      <c r="AN126" s="0" t="s">
        <v>254</v>
      </c>
      <c r="AO126" s="0" t="n">
        <v>54.158235</v>
      </c>
      <c r="AP126" s="0" t="n">
        <v>0</v>
      </c>
      <c r="AQ126" s="0" t="n">
        <v>1</v>
      </c>
      <c r="AS126" s="2" t="str">
        <f aca="false">IF(AND(G126="true",J126="true",M126="true",P126="true",S126="true"),"true","false")</f>
        <v>false</v>
      </c>
      <c r="AT126" s="0" t="str">
        <f aca="false">IF(AND(Y126="true",AB126="true",AE126="true",AH126="true",AK126="true"),"true","false")</f>
        <v>false</v>
      </c>
    </row>
    <row r="127" customFormat="false" ht="12.8" hidden="false" customHeight="false" outlineLevel="0" collapsed="false">
      <c r="A127" s="0" t="s">
        <v>454</v>
      </c>
      <c r="B127" s="0" t="s">
        <v>1</v>
      </c>
      <c r="C127" s="0" t="s">
        <v>258</v>
      </c>
      <c r="D127" s="0" t="s">
        <v>254</v>
      </c>
      <c r="E127" s="0" t="n">
        <v>41.320416</v>
      </c>
      <c r="F127" s="0" t="s">
        <v>260</v>
      </c>
      <c r="G127" s="1" t="s">
        <v>5</v>
      </c>
      <c r="H127" s="0" t="n">
        <v>12.587141</v>
      </c>
      <c r="I127" s="0" t="s">
        <v>261</v>
      </c>
      <c r="J127" s="1" t="s">
        <v>5</v>
      </c>
      <c r="K127" s="0" t="n">
        <v>5.727123</v>
      </c>
      <c r="L127" s="0" t="s">
        <v>262</v>
      </c>
      <c r="M127" s="1" t="s">
        <v>5</v>
      </c>
      <c r="N127" s="0" t="n">
        <v>30.688429</v>
      </c>
      <c r="O127" s="0" t="s">
        <v>224</v>
      </c>
      <c r="P127" s="1" t="s">
        <v>5</v>
      </c>
      <c r="Q127" s="0" t="n">
        <v>16.223801</v>
      </c>
      <c r="R127" s="0" t="s">
        <v>9</v>
      </c>
      <c r="S127" s="1" t="s">
        <v>6</v>
      </c>
      <c r="T127" s="0" t="s">
        <v>10</v>
      </c>
      <c r="U127" s="0" t="s">
        <v>253</v>
      </c>
      <c r="V127" s="0" t="s">
        <v>254</v>
      </c>
      <c r="W127" s="0" t="n">
        <v>24.138809</v>
      </c>
      <c r="X127" s="0" t="s">
        <v>255</v>
      </c>
      <c r="Y127" s="1" t="s">
        <v>5</v>
      </c>
      <c r="Z127" s="0" t="n">
        <v>15.840195</v>
      </c>
      <c r="AA127" s="0" t="s">
        <v>256</v>
      </c>
      <c r="AB127" s="1" t="s">
        <v>6</v>
      </c>
      <c r="AC127" s="0" t="n">
        <v>14.774593</v>
      </c>
      <c r="AD127" s="0" t="s">
        <v>255</v>
      </c>
      <c r="AE127" s="1" t="s">
        <v>6</v>
      </c>
      <c r="AF127" s="0" t="n">
        <v>26.048024</v>
      </c>
      <c r="AG127" s="0" t="s">
        <v>257</v>
      </c>
      <c r="AH127" s="1" t="s">
        <v>5</v>
      </c>
      <c r="AI127" s="0" t="n">
        <v>45.235139</v>
      </c>
      <c r="AJ127" s="0" t="s">
        <v>9</v>
      </c>
      <c r="AK127" s="1" t="s">
        <v>5</v>
      </c>
      <c r="AL127" s="0" t="s">
        <v>258</v>
      </c>
      <c r="AM127" s="0" t="s">
        <v>253</v>
      </c>
      <c r="AN127" s="0" t="s">
        <v>254</v>
      </c>
      <c r="AO127" s="0" t="n">
        <v>6.593676</v>
      </c>
      <c r="AP127" s="0" t="n">
        <v>0</v>
      </c>
      <c r="AQ127" s="0" t="n">
        <v>2</v>
      </c>
      <c r="AS127" s="2" t="str">
        <f aca="false">IF(AND(G127="true",J127="true",M127="true",P127="true",S127="true"),"true","false")</f>
        <v>false</v>
      </c>
      <c r="AT127" s="0" t="str">
        <f aca="false">IF(AND(Y127="true",AB127="true",AE127="true",AH127="true",AK127="true"),"true","false")</f>
        <v>false</v>
      </c>
    </row>
    <row r="128" customFormat="false" ht="12.8" hidden="false" customHeight="false" outlineLevel="0" collapsed="false">
      <c r="A128" s="0" t="s">
        <v>455</v>
      </c>
      <c r="B128" s="0" t="s">
        <v>1</v>
      </c>
      <c r="C128" s="0" t="s">
        <v>253</v>
      </c>
      <c r="D128" s="0" t="s">
        <v>254</v>
      </c>
      <c r="E128" s="0" t="n">
        <v>29.538396</v>
      </c>
      <c r="F128" s="0" t="s">
        <v>255</v>
      </c>
      <c r="G128" s="1" t="s">
        <v>5</v>
      </c>
      <c r="H128" s="0" t="n">
        <v>35.081909</v>
      </c>
      <c r="I128" s="0" t="s">
        <v>338</v>
      </c>
      <c r="J128" s="1" t="s">
        <v>6</v>
      </c>
      <c r="K128" s="0" t="n">
        <v>10.699912</v>
      </c>
      <c r="L128" s="0" t="s">
        <v>256</v>
      </c>
      <c r="M128" s="1" t="s">
        <v>5</v>
      </c>
      <c r="N128" s="0" t="n">
        <v>15.639954</v>
      </c>
      <c r="O128" s="0" t="s">
        <v>257</v>
      </c>
      <c r="P128" s="1" t="s">
        <v>5</v>
      </c>
      <c r="Q128" s="0" t="n">
        <v>19.473954</v>
      </c>
      <c r="R128" s="0" t="s">
        <v>51</v>
      </c>
      <c r="S128" s="1" t="s">
        <v>5</v>
      </c>
      <c r="T128" s="0" t="s">
        <v>10</v>
      </c>
      <c r="U128" s="0" t="s">
        <v>258</v>
      </c>
      <c r="V128" s="0" t="s">
        <v>254</v>
      </c>
      <c r="W128" s="0" t="n">
        <v>26.806838</v>
      </c>
      <c r="X128" s="0" t="s">
        <v>331</v>
      </c>
      <c r="Y128" s="1" t="s">
        <v>6</v>
      </c>
      <c r="Z128" s="0" t="n">
        <v>31.803516</v>
      </c>
      <c r="AA128" s="0" t="s">
        <v>261</v>
      </c>
      <c r="AB128" s="1" t="s">
        <v>5</v>
      </c>
      <c r="AC128" s="0" t="n">
        <v>25.637614</v>
      </c>
      <c r="AD128" s="0" t="s">
        <v>262</v>
      </c>
      <c r="AE128" s="1" t="s">
        <v>5</v>
      </c>
      <c r="AF128" s="0" t="n">
        <v>13.635228</v>
      </c>
      <c r="AG128" s="0" t="s">
        <v>65</v>
      </c>
      <c r="AH128" s="1" t="s">
        <v>6</v>
      </c>
      <c r="AI128" s="0" t="n">
        <v>10.425271</v>
      </c>
      <c r="AJ128" s="0" t="s">
        <v>9</v>
      </c>
      <c r="AK128" s="1" t="s">
        <v>5</v>
      </c>
      <c r="AL128" s="0" t="s">
        <v>253</v>
      </c>
      <c r="AM128" s="0" t="s">
        <v>258</v>
      </c>
      <c r="AN128" s="0" t="s">
        <v>254</v>
      </c>
      <c r="AO128" s="0" t="n">
        <v>2.693443</v>
      </c>
      <c r="AP128" s="0" t="n">
        <v>0</v>
      </c>
      <c r="AQ128" s="0" t="n">
        <v>0</v>
      </c>
      <c r="AS128" s="2" t="str">
        <f aca="false">IF(AND(G128="true",J128="true",M128="true",P128="true",S128="true"),"true","false")</f>
        <v>false</v>
      </c>
      <c r="AT128" s="0" t="str">
        <f aca="false">IF(AND(Y128="true",AB128="true",AE128="true",AH128="true",AK128="true"),"true","false")</f>
        <v>false</v>
      </c>
    </row>
    <row r="129" customFormat="false" ht="12.8" hidden="false" customHeight="false" outlineLevel="0" collapsed="false">
      <c r="A129" s="0" t="s">
        <v>456</v>
      </c>
      <c r="B129" s="0" t="s">
        <v>1</v>
      </c>
      <c r="C129" s="0" t="s">
        <v>253</v>
      </c>
      <c r="D129" s="0" t="s">
        <v>254</v>
      </c>
      <c r="E129" s="0" t="n">
        <v>33.906038</v>
      </c>
      <c r="F129" s="0" t="s">
        <v>255</v>
      </c>
      <c r="G129" s="1" t="s">
        <v>5</v>
      </c>
      <c r="H129" s="0" t="n">
        <v>25.564239</v>
      </c>
      <c r="I129" s="0" t="s">
        <v>255</v>
      </c>
      <c r="J129" s="1" t="s">
        <v>5</v>
      </c>
      <c r="K129" s="0" t="n">
        <v>4.432868</v>
      </c>
      <c r="L129" s="0" t="s">
        <v>256</v>
      </c>
      <c r="M129" s="1" t="s">
        <v>5</v>
      </c>
      <c r="N129" s="0" t="n">
        <v>32.395971</v>
      </c>
      <c r="O129" s="0" t="s">
        <v>257</v>
      </c>
      <c r="P129" s="1" t="s">
        <v>5</v>
      </c>
      <c r="Q129" s="0" t="n">
        <v>25.250363</v>
      </c>
      <c r="R129" s="0" t="s">
        <v>15</v>
      </c>
      <c r="S129" s="1" t="s">
        <v>6</v>
      </c>
      <c r="T129" s="0" t="s">
        <v>10</v>
      </c>
      <c r="U129" s="0" t="s">
        <v>258</v>
      </c>
      <c r="V129" s="0" t="s">
        <v>254</v>
      </c>
      <c r="W129" s="0" t="n">
        <v>21.702204</v>
      </c>
      <c r="X129" s="0" t="s">
        <v>260</v>
      </c>
      <c r="Y129" s="1" t="s">
        <v>5</v>
      </c>
      <c r="Z129" s="0" t="n">
        <v>12.606585</v>
      </c>
      <c r="AA129" s="0" t="s">
        <v>261</v>
      </c>
      <c r="AB129" s="1" t="s">
        <v>5</v>
      </c>
      <c r="AC129" s="0" t="n">
        <v>6.044251</v>
      </c>
      <c r="AD129" s="0" t="s">
        <v>262</v>
      </c>
      <c r="AE129" s="1" t="s">
        <v>5</v>
      </c>
      <c r="AF129" s="0" t="n">
        <v>18.510132</v>
      </c>
      <c r="AG129" s="0" t="s">
        <v>224</v>
      </c>
      <c r="AH129" s="1" t="s">
        <v>5</v>
      </c>
      <c r="AI129" s="0" t="n">
        <v>15.995424</v>
      </c>
      <c r="AJ129" s="0" t="s">
        <v>9</v>
      </c>
      <c r="AK129" s="1" t="s">
        <v>5</v>
      </c>
      <c r="AL129" s="0" t="s">
        <v>253</v>
      </c>
      <c r="AM129" s="0" t="s">
        <v>258</v>
      </c>
      <c r="AN129" s="0" t="s">
        <v>254</v>
      </c>
      <c r="AO129" s="0" t="n">
        <v>89.138379</v>
      </c>
      <c r="AP129" s="0" t="n">
        <v>0</v>
      </c>
      <c r="AQ129" s="0" t="n">
        <v>2</v>
      </c>
      <c r="AR129" s="0" t="s">
        <v>457</v>
      </c>
      <c r="AS129" s="2" t="str">
        <f aca="false">IF(AND(G129="true",J129="true",M129="true",P129="true",S129="true"),"true","false")</f>
        <v>false</v>
      </c>
      <c r="AT129" s="0" t="str">
        <f aca="false">IF(AND(Y129="true",AB129="true",AE129="true",AH129="true",AK129="true"),"true","false")</f>
        <v>true</v>
      </c>
    </row>
    <row r="130" customFormat="false" ht="12.8" hidden="false" customHeight="false" outlineLevel="0" collapsed="false">
      <c r="A130" s="0" t="s">
        <v>458</v>
      </c>
      <c r="B130" s="0" t="s">
        <v>1</v>
      </c>
      <c r="C130" s="0" t="s">
        <v>253</v>
      </c>
      <c r="D130" s="0" t="s">
        <v>254</v>
      </c>
      <c r="E130" s="0" t="n">
        <v>26.60094</v>
      </c>
      <c r="F130" s="0" t="s">
        <v>255</v>
      </c>
      <c r="G130" s="1" t="s">
        <v>5</v>
      </c>
      <c r="H130" s="0" t="n">
        <v>17.749705</v>
      </c>
      <c r="I130" s="0" t="s">
        <v>255</v>
      </c>
      <c r="J130" s="1" t="s">
        <v>5</v>
      </c>
      <c r="K130" s="0" t="n">
        <v>15.940298</v>
      </c>
      <c r="L130" s="0" t="s">
        <v>256</v>
      </c>
      <c r="M130" s="1" t="s">
        <v>5</v>
      </c>
      <c r="N130" s="0" t="n">
        <v>14.4748</v>
      </c>
      <c r="O130" s="0" t="s">
        <v>257</v>
      </c>
      <c r="P130" s="1" t="s">
        <v>5</v>
      </c>
      <c r="Q130" s="0" t="n">
        <v>14.537318</v>
      </c>
      <c r="R130" s="0" t="s">
        <v>51</v>
      </c>
      <c r="S130" s="1" t="s">
        <v>5</v>
      </c>
      <c r="T130" s="0" t="s">
        <v>10</v>
      </c>
      <c r="U130" s="0" t="s">
        <v>258</v>
      </c>
      <c r="V130" s="0" t="s">
        <v>254</v>
      </c>
      <c r="W130" s="0" t="n">
        <v>65.258117</v>
      </c>
      <c r="X130" s="0" t="s">
        <v>260</v>
      </c>
      <c r="Y130" s="1" t="s">
        <v>5</v>
      </c>
      <c r="Z130" s="0" t="n">
        <v>13.113626</v>
      </c>
      <c r="AA130" s="0" t="s">
        <v>261</v>
      </c>
      <c r="AB130" s="1" t="s">
        <v>5</v>
      </c>
      <c r="AC130" s="0" t="n">
        <v>4.259937</v>
      </c>
      <c r="AD130" s="0" t="s">
        <v>262</v>
      </c>
      <c r="AE130" s="1" t="s">
        <v>5</v>
      </c>
      <c r="AF130" s="0" t="n">
        <v>81.077647</v>
      </c>
      <c r="AG130" s="0" t="s">
        <v>70</v>
      </c>
      <c r="AH130" s="1" t="s">
        <v>6</v>
      </c>
      <c r="AI130" s="0" t="n">
        <v>18.192098</v>
      </c>
      <c r="AJ130" s="0" t="s">
        <v>15</v>
      </c>
      <c r="AK130" s="1" t="s">
        <v>6</v>
      </c>
      <c r="AL130" s="0" t="s">
        <v>253</v>
      </c>
      <c r="AM130" s="0" t="s">
        <v>258</v>
      </c>
      <c r="AN130" s="0" t="s">
        <v>254</v>
      </c>
      <c r="AO130" s="0" t="n">
        <v>8.461944</v>
      </c>
      <c r="AP130" s="0" t="n">
        <v>0</v>
      </c>
      <c r="AQ130" s="0" t="n">
        <v>1</v>
      </c>
      <c r="AS130" s="2" t="str">
        <f aca="false">IF(AND(G130="true",J130="true",M130="true",P130="true",S130="true"),"true","false")</f>
        <v>true</v>
      </c>
      <c r="AT130" s="0" t="str">
        <f aca="false">IF(AND(Y130="true",AB130="true",AE130="true",AH130="true",AK130="true"),"true","false")</f>
        <v>false</v>
      </c>
    </row>
    <row r="131" customFormat="false" ht="12.8" hidden="false" customHeight="false" outlineLevel="0" collapsed="false">
      <c r="A131" s="0" t="s">
        <v>459</v>
      </c>
      <c r="B131" s="0" t="s">
        <v>1</v>
      </c>
      <c r="C131" s="0" t="s">
        <v>258</v>
      </c>
      <c r="D131" s="0" t="s">
        <v>254</v>
      </c>
      <c r="E131" s="0" t="n">
        <v>23.825051</v>
      </c>
      <c r="F131" s="0" t="s">
        <v>260</v>
      </c>
      <c r="G131" s="1" t="s">
        <v>5</v>
      </c>
      <c r="H131" s="0" t="n">
        <v>14.583834</v>
      </c>
      <c r="I131" s="0" t="s">
        <v>261</v>
      </c>
      <c r="J131" s="1" t="s">
        <v>5</v>
      </c>
      <c r="K131" s="0" t="n">
        <v>5.881451</v>
      </c>
      <c r="L131" s="0" t="s">
        <v>262</v>
      </c>
      <c r="M131" s="1" t="s">
        <v>5</v>
      </c>
      <c r="N131" s="0" t="n">
        <v>19.581907</v>
      </c>
      <c r="O131" s="0" t="s">
        <v>224</v>
      </c>
      <c r="P131" s="1" t="s">
        <v>5</v>
      </c>
      <c r="Q131" s="0" t="n">
        <v>20.634233</v>
      </c>
      <c r="R131" s="0" t="s">
        <v>9</v>
      </c>
      <c r="S131" s="1" t="s">
        <v>6</v>
      </c>
      <c r="T131" s="0" t="s">
        <v>10</v>
      </c>
      <c r="U131" s="0" t="s">
        <v>253</v>
      </c>
      <c r="V131" s="0" t="s">
        <v>254</v>
      </c>
      <c r="W131" s="0" t="n">
        <v>25.61484</v>
      </c>
      <c r="X131" s="0" t="s">
        <v>255</v>
      </c>
      <c r="Y131" s="1" t="s">
        <v>5</v>
      </c>
      <c r="Z131" s="0" t="n">
        <v>19.717452</v>
      </c>
      <c r="AA131" s="0" t="s">
        <v>255</v>
      </c>
      <c r="AB131" s="1" t="s">
        <v>5</v>
      </c>
      <c r="AC131" s="0" t="n">
        <v>6.235702</v>
      </c>
      <c r="AD131" s="0" t="s">
        <v>256</v>
      </c>
      <c r="AE131" s="1" t="s">
        <v>5</v>
      </c>
      <c r="AF131" s="0" t="n">
        <v>29.079363</v>
      </c>
      <c r="AG131" s="0" t="s">
        <v>257</v>
      </c>
      <c r="AH131" s="1" t="s">
        <v>5</v>
      </c>
      <c r="AI131" s="0" t="n">
        <v>27.6664</v>
      </c>
      <c r="AJ131" s="0" t="s">
        <v>9</v>
      </c>
      <c r="AK131" s="1" t="s">
        <v>5</v>
      </c>
      <c r="AL131" s="0" t="s">
        <v>258</v>
      </c>
      <c r="AM131" s="0" t="s">
        <v>253</v>
      </c>
      <c r="AN131" s="0" t="s">
        <v>254</v>
      </c>
      <c r="AO131" s="0" t="n">
        <v>36.873159</v>
      </c>
      <c r="AP131" s="0" t="n">
        <v>1</v>
      </c>
      <c r="AQ131" s="0" t="n">
        <v>1</v>
      </c>
      <c r="AS131" s="2" t="str">
        <f aca="false">IF(AND(G131="true",J131="true",M131="true",P131="true",S131="true"),"true","false")</f>
        <v>false</v>
      </c>
      <c r="AT131" s="0" t="str">
        <f aca="false">IF(AND(Y131="true",AB131="true",AE131="true",AH131="true",AK131="true"),"true","false")</f>
        <v>true</v>
      </c>
    </row>
    <row r="132" customFormat="false" ht="12.8" hidden="false" customHeight="false" outlineLevel="0" collapsed="false">
      <c r="A132" s="0" t="s">
        <v>460</v>
      </c>
      <c r="B132" s="0" t="s">
        <v>1</v>
      </c>
      <c r="C132" s="0" t="s">
        <v>258</v>
      </c>
      <c r="D132" s="0" t="s">
        <v>254</v>
      </c>
      <c r="E132" s="0" t="n">
        <v>49.242951</v>
      </c>
      <c r="F132" s="0" t="s">
        <v>261</v>
      </c>
      <c r="G132" s="1" t="s">
        <v>6</v>
      </c>
      <c r="H132" s="0" t="n">
        <v>24.224452</v>
      </c>
      <c r="I132" s="0" t="s">
        <v>261</v>
      </c>
      <c r="J132" s="1" t="s">
        <v>5</v>
      </c>
      <c r="K132" s="0" t="n">
        <v>8.199876</v>
      </c>
      <c r="L132" s="0" t="s">
        <v>262</v>
      </c>
      <c r="M132" s="1" t="s">
        <v>5</v>
      </c>
      <c r="N132" s="0" t="n">
        <v>38.587504</v>
      </c>
      <c r="O132" s="0" t="s">
        <v>70</v>
      </c>
      <c r="P132" s="1" t="s">
        <v>6</v>
      </c>
      <c r="Q132" s="0" t="n">
        <v>13.816099</v>
      </c>
      <c r="R132" s="0" t="s">
        <v>9</v>
      </c>
      <c r="S132" s="1" t="s">
        <v>6</v>
      </c>
      <c r="T132" s="0" t="s">
        <v>10</v>
      </c>
      <c r="U132" s="0" t="s">
        <v>253</v>
      </c>
      <c r="V132" s="0" t="s">
        <v>254</v>
      </c>
      <c r="W132" s="0" t="n">
        <v>50.75942</v>
      </c>
      <c r="X132" s="0" t="s">
        <v>255</v>
      </c>
      <c r="Y132" s="1" t="s">
        <v>5</v>
      </c>
      <c r="Z132" s="0" t="n">
        <v>17.578964</v>
      </c>
      <c r="AA132" s="0" t="s">
        <v>264</v>
      </c>
      <c r="AB132" s="1" t="s">
        <v>6</v>
      </c>
      <c r="AC132" s="0" t="n">
        <v>10.720064</v>
      </c>
      <c r="AD132" s="0" t="s">
        <v>256</v>
      </c>
      <c r="AE132" s="1" t="s">
        <v>5</v>
      </c>
      <c r="AF132" s="0" t="n">
        <v>26.537018</v>
      </c>
      <c r="AG132" s="0" t="s">
        <v>257</v>
      </c>
      <c r="AH132" s="1" t="s">
        <v>5</v>
      </c>
      <c r="AI132" s="0" t="n">
        <v>16.283647</v>
      </c>
      <c r="AJ132" s="0" t="s">
        <v>9</v>
      </c>
      <c r="AK132" s="1" t="s">
        <v>5</v>
      </c>
      <c r="AL132" s="0" t="s">
        <v>258</v>
      </c>
      <c r="AM132" s="0" t="s">
        <v>253</v>
      </c>
      <c r="AN132" s="0" t="s">
        <v>254</v>
      </c>
      <c r="AO132" s="0" t="n">
        <v>19.370906</v>
      </c>
      <c r="AP132" s="0" t="n">
        <v>1</v>
      </c>
      <c r="AQ132" s="0" t="n">
        <v>1</v>
      </c>
      <c r="AS132" s="2" t="str">
        <f aca="false">IF(AND(G132="true",J132="true",M132="true",P132="true",S132="true"),"true","false")</f>
        <v>false</v>
      </c>
      <c r="AT132" s="0" t="str">
        <f aca="false">IF(AND(Y132="true",AB132="true",AE132="true",AH132="true",AK132="true"),"true","false")</f>
        <v>false</v>
      </c>
    </row>
    <row r="133" customFormat="false" ht="12.8" hidden="false" customHeight="false" outlineLevel="0" collapsed="false">
      <c r="A133" s="0" t="s">
        <v>461</v>
      </c>
      <c r="B133" s="0" t="s">
        <v>1</v>
      </c>
      <c r="C133" s="0" t="s">
        <v>258</v>
      </c>
      <c r="D133" s="0" t="s">
        <v>254</v>
      </c>
      <c r="E133" s="0" t="n">
        <v>67.260677</v>
      </c>
      <c r="F133" s="0" t="s">
        <v>260</v>
      </c>
      <c r="G133" s="1" t="s">
        <v>5</v>
      </c>
      <c r="H133" s="0" t="n">
        <v>10.075434</v>
      </c>
      <c r="I133" s="0" t="s">
        <v>261</v>
      </c>
      <c r="J133" s="1" t="s">
        <v>5</v>
      </c>
      <c r="K133" s="0" t="n">
        <v>6.456905</v>
      </c>
      <c r="L133" s="0" t="s">
        <v>262</v>
      </c>
      <c r="M133" s="1" t="s">
        <v>5</v>
      </c>
      <c r="N133" s="0" t="n">
        <v>16.748501</v>
      </c>
      <c r="O133" s="0" t="s">
        <v>224</v>
      </c>
      <c r="P133" s="1" t="s">
        <v>5</v>
      </c>
      <c r="Q133" s="0" t="n">
        <v>25.923556</v>
      </c>
      <c r="R133" s="0" t="s">
        <v>9</v>
      </c>
      <c r="S133" s="1" t="s">
        <v>6</v>
      </c>
      <c r="T133" s="0" t="s">
        <v>10</v>
      </c>
      <c r="U133" s="0" t="s">
        <v>253</v>
      </c>
      <c r="V133" s="0" t="s">
        <v>254</v>
      </c>
      <c r="W133" s="0" t="n">
        <v>252.56501</v>
      </c>
      <c r="X133" s="0" t="s">
        <v>255</v>
      </c>
      <c r="Y133" s="1" t="s">
        <v>5</v>
      </c>
      <c r="Z133" s="0" t="n">
        <v>12.77751</v>
      </c>
      <c r="AA133" s="0" t="s">
        <v>256</v>
      </c>
      <c r="AB133" s="1" t="s">
        <v>6</v>
      </c>
      <c r="AC133" s="0" t="n">
        <v>8.74184</v>
      </c>
      <c r="AD133" s="0" t="s">
        <v>255</v>
      </c>
      <c r="AE133" s="1" t="s">
        <v>6</v>
      </c>
      <c r="AF133" s="0" t="n">
        <v>24.663781</v>
      </c>
      <c r="AG133" s="0" t="s">
        <v>257</v>
      </c>
      <c r="AH133" s="1" t="s">
        <v>5</v>
      </c>
      <c r="AI133" s="0" t="n">
        <v>9.32487</v>
      </c>
      <c r="AJ133" s="0" t="s">
        <v>15</v>
      </c>
      <c r="AK133" s="1" t="s">
        <v>6</v>
      </c>
      <c r="AL133" s="0" t="s">
        <v>258</v>
      </c>
      <c r="AM133" s="0" t="s">
        <v>253</v>
      </c>
      <c r="AN133" s="0" t="s">
        <v>254</v>
      </c>
      <c r="AO133" s="0" t="n">
        <v>7.814863</v>
      </c>
      <c r="AP133" s="0" t="n">
        <v>-2</v>
      </c>
      <c r="AQ133" s="0" t="n">
        <v>-1</v>
      </c>
      <c r="AS133" s="2" t="str">
        <f aca="false">IF(AND(G133="true",J133="true",M133="true",P133="true",S133="true"),"true","false")</f>
        <v>false</v>
      </c>
      <c r="AT133" s="0" t="str">
        <f aca="false">IF(AND(Y133="true",AB133="true",AE133="true",AH133="true",AK133="true"),"true","false")</f>
        <v>false</v>
      </c>
    </row>
    <row r="134" customFormat="false" ht="12.8" hidden="false" customHeight="false" outlineLevel="0" collapsed="false">
      <c r="A134" s="0" t="s">
        <v>462</v>
      </c>
      <c r="B134" s="0" t="s">
        <v>1</v>
      </c>
      <c r="C134" s="0" t="s">
        <v>253</v>
      </c>
      <c r="D134" s="0" t="s">
        <v>254</v>
      </c>
      <c r="E134" s="0" t="n">
        <v>43.215692</v>
      </c>
      <c r="F134" s="0" t="s">
        <v>255</v>
      </c>
      <c r="G134" s="1" t="s">
        <v>5</v>
      </c>
      <c r="H134" s="0" t="n">
        <v>52.058915</v>
      </c>
      <c r="I134" s="0" t="s">
        <v>255</v>
      </c>
      <c r="J134" s="1" t="s">
        <v>5</v>
      </c>
      <c r="K134" s="0" t="n">
        <v>6.790291</v>
      </c>
      <c r="L134" s="0" t="s">
        <v>256</v>
      </c>
      <c r="M134" s="1" t="s">
        <v>5</v>
      </c>
      <c r="N134" s="0" t="n">
        <v>40.224515</v>
      </c>
      <c r="O134" s="0" t="s">
        <v>257</v>
      </c>
      <c r="P134" s="1" t="s">
        <v>5</v>
      </c>
      <c r="Q134" s="0" t="n">
        <v>22.078678</v>
      </c>
      <c r="R134" s="0" t="s">
        <v>15</v>
      </c>
      <c r="S134" s="1" t="s">
        <v>6</v>
      </c>
      <c r="T134" s="0" t="s">
        <v>10</v>
      </c>
      <c r="U134" s="0" t="s">
        <v>258</v>
      </c>
      <c r="V134" s="0" t="s">
        <v>254</v>
      </c>
      <c r="W134" s="0" t="n">
        <v>67.297082</v>
      </c>
      <c r="Y134" s="1" t="s">
        <v>6</v>
      </c>
      <c r="Z134" s="0" t="n">
        <v>6.212846</v>
      </c>
      <c r="AB134" s="1" t="s">
        <v>6</v>
      </c>
      <c r="AC134" s="0" t="n">
        <v>15.103763</v>
      </c>
      <c r="AD134" s="0" t="s">
        <v>463</v>
      </c>
      <c r="AE134" s="1" t="s">
        <v>6</v>
      </c>
      <c r="AF134" s="0" t="n">
        <v>46.609961</v>
      </c>
      <c r="AH134" s="1" t="s">
        <v>6</v>
      </c>
      <c r="AI134" s="0" t="n">
        <v>1.749225</v>
      </c>
      <c r="AK134" s="1" t="s">
        <v>6</v>
      </c>
      <c r="AL134" s="0" t="s">
        <v>253</v>
      </c>
      <c r="AM134" s="0" t="s">
        <v>258</v>
      </c>
      <c r="AN134" s="0" t="s">
        <v>254</v>
      </c>
      <c r="AO134" s="0" t="n">
        <v>4.676223</v>
      </c>
      <c r="AP134" s="0" t="n">
        <v>2</v>
      </c>
      <c r="AQ134" s="0" t="n">
        <v>-2</v>
      </c>
      <c r="AS134" s="2" t="str">
        <f aca="false">IF(AND(G134="true",J134="true",M134="true",P134="true",S134="true"),"true","false")</f>
        <v>false</v>
      </c>
      <c r="AT134" s="0" t="str">
        <f aca="false">IF(AND(Y134="true",AB134="true",AE134="true",AH134="true",AK134="true"),"true","false")</f>
        <v>false</v>
      </c>
    </row>
    <row r="135" customFormat="false" ht="12.8" hidden="false" customHeight="false" outlineLevel="0" collapsed="false">
      <c r="A135" s="0" t="s">
        <v>464</v>
      </c>
      <c r="B135" s="0" t="s">
        <v>1</v>
      </c>
      <c r="C135" s="0" t="s">
        <v>253</v>
      </c>
      <c r="D135" s="0" t="s">
        <v>254</v>
      </c>
      <c r="E135" s="0" t="n">
        <v>92.349919</v>
      </c>
      <c r="F135" s="0" t="s">
        <v>255</v>
      </c>
      <c r="G135" s="1" t="s">
        <v>5</v>
      </c>
      <c r="H135" s="0" t="n">
        <v>24.180359</v>
      </c>
      <c r="I135" s="0" t="s">
        <v>255</v>
      </c>
      <c r="J135" s="1" t="s">
        <v>5</v>
      </c>
      <c r="K135" s="0" t="n">
        <v>8.700821</v>
      </c>
      <c r="L135" s="0" t="s">
        <v>256</v>
      </c>
      <c r="M135" s="1" t="s">
        <v>5</v>
      </c>
      <c r="N135" s="0" t="n">
        <v>37.189744</v>
      </c>
      <c r="O135" s="0" t="s">
        <v>257</v>
      </c>
      <c r="P135" s="1" t="s">
        <v>5</v>
      </c>
      <c r="Q135" s="0" t="n">
        <v>73.297267</v>
      </c>
      <c r="R135" s="0" t="s">
        <v>15</v>
      </c>
      <c r="S135" s="1" t="s">
        <v>6</v>
      </c>
      <c r="T135" s="0" t="s">
        <v>10</v>
      </c>
      <c r="U135" s="0" t="s">
        <v>258</v>
      </c>
      <c r="V135" s="0" t="s">
        <v>254</v>
      </c>
      <c r="W135" s="0" t="n">
        <v>34.565945</v>
      </c>
      <c r="X135" s="0" t="s">
        <v>260</v>
      </c>
      <c r="Y135" s="1" t="s">
        <v>5</v>
      </c>
      <c r="Z135" s="0" t="n">
        <v>14.601673</v>
      </c>
      <c r="AA135" s="0" t="s">
        <v>261</v>
      </c>
      <c r="AB135" s="1" t="s">
        <v>5</v>
      </c>
      <c r="AC135" s="0" t="n">
        <v>4.370247</v>
      </c>
      <c r="AD135" s="0" t="s">
        <v>262</v>
      </c>
      <c r="AE135" s="1" t="s">
        <v>5</v>
      </c>
      <c r="AF135" s="0" t="n">
        <v>12.51238</v>
      </c>
      <c r="AG135" s="0" t="s">
        <v>224</v>
      </c>
      <c r="AH135" s="1" t="s">
        <v>5</v>
      </c>
      <c r="AI135" s="0" t="n">
        <v>24.254888</v>
      </c>
      <c r="AJ135" s="0" t="s">
        <v>9</v>
      </c>
      <c r="AK135" s="1" t="s">
        <v>5</v>
      </c>
      <c r="AL135" s="0" t="s">
        <v>253</v>
      </c>
      <c r="AM135" s="0" t="s">
        <v>258</v>
      </c>
      <c r="AN135" s="0" t="s">
        <v>254</v>
      </c>
      <c r="AO135" s="0" t="n">
        <v>11.401064</v>
      </c>
      <c r="AP135" s="0" t="n">
        <v>1</v>
      </c>
      <c r="AQ135" s="0" t="n">
        <v>-1</v>
      </c>
      <c r="AS135" s="2" t="str">
        <f aca="false">IF(AND(G135="true",J135="true",M135="true",P135="true",S135="true"),"true","false")</f>
        <v>false</v>
      </c>
      <c r="AT135" s="0" t="str">
        <f aca="false">IF(AND(Y135="true",AB135="true",AE135="true",AH135="true",AK135="true"),"true","false")</f>
        <v>true</v>
      </c>
    </row>
    <row r="136" customFormat="false" ht="12.8" hidden="false" customHeight="false" outlineLevel="0" collapsed="false">
      <c r="A136" s="0" t="s">
        <v>465</v>
      </c>
      <c r="B136" s="0" t="s">
        <v>1</v>
      </c>
      <c r="C136" s="0" t="s">
        <v>253</v>
      </c>
      <c r="D136" s="0" t="s">
        <v>254</v>
      </c>
      <c r="E136" s="0" t="n">
        <v>19.392156</v>
      </c>
      <c r="F136" s="0" t="s">
        <v>338</v>
      </c>
      <c r="G136" s="1" t="s">
        <v>6</v>
      </c>
      <c r="H136" s="0" t="n">
        <v>20.599138</v>
      </c>
      <c r="I136" s="0" t="s">
        <v>255</v>
      </c>
      <c r="J136" s="1" t="s">
        <v>5</v>
      </c>
      <c r="K136" s="0" t="n">
        <v>7.551795</v>
      </c>
      <c r="L136" s="0" t="s">
        <v>256</v>
      </c>
      <c r="M136" s="1" t="s">
        <v>5</v>
      </c>
      <c r="N136" s="0" t="n">
        <v>25.90129</v>
      </c>
      <c r="O136" s="0" t="s">
        <v>257</v>
      </c>
      <c r="P136" s="1" t="s">
        <v>5</v>
      </c>
      <c r="Q136" s="0" t="n">
        <v>9.530902</v>
      </c>
      <c r="R136" s="0" t="s">
        <v>9</v>
      </c>
      <c r="S136" s="1" t="s">
        <v>6</v>
      </c>
      <c r="T136" s="0" t="s">
        <v>10</v>
      </c>
      <c r="U136" s="0" t="s">
        <v>258</v>
      </c>
      <c r="V136" s="0" t="s">
        <v>254</v>
      </c>
      <c r="W136" s="0" t="n">
        <v>2.611935</v>
      </c>
      <c r="Y136" s="1" t="s">
        <v>6</v>
      </c>
      <c r="Z136" s="0" t="n">
        <v>2.634211</v>
      </c>
      <c r="AB136" s="1" t="s">
        <v>6</v>
      </c>
      <c r="AC136" s="0" t="n">
        <v>0.925721</v>
      </c>
      <c r="AE136" s="1" t="s">
        <v>6</v>
      </c>
      <c r="AF136" s="0" t="n">
        <v>1.307075</v>
      </c>
      <c r="AH136" s="1" t="s">
        <v>6</v>
      </c>
      <c r="AI136" s="0" t="n">
        <v>1.450618</v>
      </c>
      <c r="AK136" s="1" t="s">
        <v>6</v>
      </c>
      <c r="AL136" s="0" t="s">
        <v>253</v>
      </c>
      <c r="AM136" s="0" t="s">
        <v>258</v>
      </c>
      <c r="AN136" s="0" t="s">
        <v>254</v>
      </c>
      <c r="AO136" s="0" t="n">
        <v>6.229493</v>
      </c>
      <c r="AP136" s="0" t="n">
        <v>1</v>
      </c>
      <c r="AQ136" s="0" t="n">
        <v>-2</v>
      </c>
      <c r="AS136" s="2" t="str">
        <f aca="false">IF(AND(G136="true",J136="true",M136="true",P136="true",S136="true"),"true","false")</f>
        <v>false</v>
      </c>
      <c r="AT136" s="0" t="str">
        <f aca="false">IF(AND(Y136="true",AB136="true",AE136="true",AH136="true",AK136="true"),"true","false")</f>
        <v>false</v>
      </c>
    </row>
    <row r="137" customFormat="false" ht="12.8" hidden="false" customHeight="false" outlineLevel="0" collapsed="false">
      <c r="A137" s="0" t="s">
        <v>466</v>
      </c>
      <c r="B137" s="0" t="s">
        <v>1</v>
      </c>
      <c r="C137" s="0" t="s">
        <v>258</v>
      </c>
      <c r="D137" s="0" t="s">
        <v>254</v>
      </c>
      <c r="E137" s="0" t="n">
        <v>36.426535</v>
      </c>
      <c r="F137" s="0" t="s">
        <v>260</v>
      </c>
      <c r="G137" s="1" t="s">
        <v>5</v>
      </c>
      <c r="H137" s="0" t="n">
        <v>9.145186</v>
      </c>
      <c r="I137" s="0" t="s">
        <v>261</v>
      </c>
      <c r="J137" s="1" t="s">
        <v>5</v>
      </c>
      <c r="K137" s="0" t="n">
        <v>17.718392</v>
      </c>
      <c r="L137" s="0" t="s">
        <v>262</v>
      </c>
      <c r="M137" s="1" t="s">
        <v>5</v>
      </c>
      <c r="N137" s="0" t="n">
        <v>23.098834</v>
      </c>
      <c r="O137" s="0" t="s">
        <v>224</v>
      </c>
      <c r="P137" s="1" t="s">
        <v>5</v>
      </c>
      <c r="Q137" s="0" t="n">
        <v>63.017255</v>
      </c>
      <c r="R137" s="0" t="s">
        <v>15</v>
      </c>
      <c r="S137" s="1" t="s">
        <v>6</v>
      </c>
      <c r="T137" s="0" t="s">
        <v>10</v>
      </c>
      <c r="U137" s="0" t="s">
        <v>253</v>
      </c>
      <c r="V137" s="0" t="s">
        <v>254</v>
      </c>
      <c r="W137" s="0" t="n">
        <v>53.182867</v>
      </c>
      <c r="X137" s="0" t="s">
        <v>255</v>
      </c>
      <c r="Y137" s="1" t="s">
        <v>5</v>
      </c>
      <c r="Z137" s="0" t="n">
        <v>11.02883</v>
      </c>
      <c r="AA137" s="0" t="s">
        <v>255</v>
      </c>
      <c r="AB137" s="1" t="s">
        <v>5</v>
      </c>
      <c r="AC137" s="0" t="n">
        <v>6.265626</v>
      </c>
      <c r="AD137" s="0" t="s">
        <v>256</v>
      </c>
      <c r="AE137" s="1" t="s">
        <v>5</v>
      </c>
      <c r="AF137" s="0" t="n">
        <v>26.640522</v>
      </c>
      <c r="AG137" s="0" t="s">
        <v>276</v>
      </c>
      <c r="AH137" s="1" t="s">
        <v>6</v>
      </c>
      <c r="AI137" s="0" t="n">
        <v>38.820792</v>
      </c>
      <c r="AJ137" s="0" t="s">
        <v>15</v>
      </c>
      <c r="AK137" s="1" t="s">
        <v>6</v>
      </c>
      <c r="AL137" s="0" t="s">
        <v>258</v>
      </c>
      <c r="AM137" s="0" t="s">
        <v>253</v>
      </c>
      <c r="AN137" s="0" t="s">
        <v>254</v>
      </c>
      <c r="AO137" s="0" t="n">
        <v>15.23959</v>
      </c>
      <c r="AP137" s="0" t="n">
        <v>1</v>
      </c>
      <c r="AQ137" s="0" t="n">
        <v>1</v>
      </c>
      <c r="AS137" s="2" t="str">
        <f aca="false">IF(AND(G137="true",J137="true",M137="true",P137="true",S137="true"),"true","false")</f>
        <v>false</v>
      </c>
      <c r="AT137" s="0" t="str">
        <f aca="false">IF(AND(Y137="true",AB137="true",AE137="true",AH137="true",AK137="true"),"true","false")</f>
        <v>false</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26"/>
  <sheetViews>
    <sheetView showFormulas="false" showGridLines="true" showRowColHeaders="true" showZeros="true" rightToLeft="false" tabSelected="false" showOutlineSymbols="true" defaultGridColor="true" view="normal" topLeftCell="AS1" colorId="64" zoomScale="160" zoomScaleNormal="160" zoomScalePageLayoutView="100" workbookViewId="0">
      <selection pane="topLeft" activeCell="AS1" activeCellId="0" sqref="AS1"/>
    </sheetView>
  </sheetViews>
  <sheetFormatPr defaultColWidth="11.53515625" defaultRowHeight="12.8" customHeight="true" zeroHeight="false" outlineLevelRow="0" outlineLevelCol="0"/>
  <cols>
    <col collapsed="false" customWidth="true" hidden="false" outlineLevel="0" max="5" min="5" style="0" width="15.58"/>
    <col collapsed="false" customWidth="true" hidden="false" outlineLevel="0" max="44" min="44" style="0" width="209.52"/>
  </cols>
  <sheetData>
    <row r="1" customFormat="false" ht="12.8" hidden="false" customHeight="false" outlineLevel="0" collapsed="false">
      <c r="A1" s="0" t="s">
        <v>467</v>
      </c>
      <c r="B1" s="0" t="s">
        <v>1</v>
      </c>
      <c r="C1" s="0" t="s">
        <v>468</v>
      </c>
      <c r="D1" s="0" t="s">
        <v>469</v>
      </c>
      <c r="E1" s="0" t="n">
        <v>65.057706</v>
      </c>
      <c r="F1" s="0" t="s">
        <v>470</v>
      </c>
      <c r="G1" s="1" t="s">
        <v>5</v>
      </c>
      <c r="H1" s="0" t="n">
        <v>76.415312</v>
      </c>
      <c r="I1" s="0" t="s">
        <v>471</v>
      </c>
      <c r="J1" s="1" t="s">
        <v>5</v>
      </c>
      <c r="K1" s="0" t="n">
        <v>18.695631</v>
      </c>
      <c r="L1" s="0" t="s">
        <v>472</v>
      </c>
      <c r="M1" s="1" t="s">
        <v>6</v>
      </c>
      <c r="N1" s="0" t="n">
        <v>22.962657</v>
      </c>
      <c r="O1" s="0" t="s">
        <v>473</v>
      </c>
      <c r="P1" s="1" t="s">
        <v>5</v>
      </c>
      <c r="Q1" s="0" t="n">
        <v>11.403865</v>
      </c>
      <c r="R1" s="0" t="s">
        <v>15</v>
      </c>
      <c r="S1" s="1" t="s">
        <v>6</v>
      </c>
      <c r="T1" s="0" t="s">
        <v>10</v>
      </c>
      <c r="U1" s="0" t="s">
        <v>474</v>
      </c>
      <c r="V1" s="0" t="s">
        <v>469</v>
      </c>
      <c r="W1" s="0" t="n">
        <v>52.663068</v>
      </c>
      <c r="X1" s="0" t="s">
        <v>475</v>
      </c>
      <c r="Y1" s="1" t="s">
        <v>6</v>
      </c>
      <c r="Z1" s="0" t="n">
        <v>44.164664</v>
      </c>
      <c r="AA1" s="0" t="s">
        <v>476</v>
      </c>
      <c r="AB1" s="1" t="s">
        <v>5</v>
      </c>
      <c r="AC1" s="0" t="n">
        <v>16.75147</v>
      </c>
      <c r="AD1" s="0" t="s">
        <v>477</v>
      </c>
      <c r="AE1" s="1" t="s">
        <v>5</v>
      </c>
      <c r="AF1" s="0" t="n">
        <v>39.795049</v>
      </c>
      <c r="AG1" s="0" t="s">
        <v>478</v>
      </c>
      <c r="AH1" s="1" t="s">
        <v>5</v>
      </c>
      <c r="AI1" s="0" t="n">
        <v>14.000165</v>
      </c>
      <c r="AJ1" s="0" t="s">
        <v>15</v>
      </c>
      <c r="AK1" s="1" t="s">
        <v>6</v>
      </c>
      <c r="AL1" s="0" t="s">
        <v>468</v>
      </c>
      <c r="AM1" s="0" t="s">
        <v>474</v>
      </c>
      <c r="AN1" s="0" t="s">
        <v>469</v>
      </c>
      <c r="AO1" s="0" t="n">
        <v>7.25661</v>
      </c>
      <c r="AP1" s="0" t="n">
        <v>1</v>
      </c>
      <c r="AQ1" s="0" t="n">
        <v>1</v>
      </c>
      <c r="AS1" s="2" t="str">
        <f aca="false">IF(AND(G1="true",J1="true",M1="true",P1="true",S1="true"),"true","false")</f>
        <v>false</v>
      </c>
      <c r="AT1" s="0" t="str">
        <f aca="false">IF(AND(Y1="true",AB1="true",AE1="true",AH1="true",AK1="true"),"true","false")</f>
        <v>false</v>
      </c>
    </row>
    <row r="2" customFormat="false" ht="12.8" hidden="false" customHeight="false" outlineLevel="0" collapsed="false">
      <c r="A2" s="0" t="s">
        <v>479</v>
      </c>
      <c r="B2" s="0" t="s">
        <v>1</v>
      </c>
      <c r="C2" s="0" t="s">
        <v>474</v>
      </c>
      <c r="D2" s="0" t="s">
        <v>469</v>
      </c>
      <c r="E2" s="0" t="n">
        <v>74.309061</v>
      </c>
      <c r="F2" s="0" t="s">
        <v>480</v>
      </c>
      <c r="G2" s="1" t="s">
        <v>5</v>
      </c>
      <c r="H2" s="0" t="n">
        <v>29.047396</v>
      </c>
      <c r="I2" s="0" t="s">
        <v>481</v>
      </c>
      <c r="J2" s="1" t="s">
        <v>6</v>
      </c>
      <c r="K2" s="0" t="n">
        <v>80.637097</v>
      </c>
      <c r="L2" s="0" t="s">
        <v>477</v>
      </c>
      <c r="M2" s="1" t="s">
        <v>5</v>
      </c>
      <c r="N2" s="0" t="n">
        <v>119.850578</v>
      </c>
      <c r="O2" s="0" t="s">
        <v>482</v>
      </c>
      <c r="P2" s="1" t="s">
        <v>6</v>
      </c>
      <c r="Q2" s="0" t="n">
        <v>8.685124</v>
      </c>
      <c r="R2" s="0" t="s">
        <v>15</v>
      </c>
      <c r="S2" s="1" t="s">
        <v>6</v>
      </c>
      <c r="T2" s="0" t="s">
        <v>10</v>
      </c>
      <c r="U2" s="0" t="s">
        <v>468</v>
      </c>
      <c r="V2" s="0" t="s">
        <v>469</v>
      </c>
      <c r="W2" s="0" t="n">
        <v>16.680143</v>
      </c>
      <c r="Y2" s="1" t="s">
        <v>6</v>
      </c>
      <c r="Z2" s="0" t="n">
        <v>1.905389</v>
      </c>
      <c r="AB2" s="1" t="s">
        <v>6</v>
      </c>
      <c r="AC2" s="0" t="n">
        <v>0.68331</v>
      </c>
      <c r="AE2" s="1" t="s">
        <v>6</v>
      </c>
      <c r="AF2" s="0" t="n">
        <v>1.538109</v>
      </c>
      <c r="AH2" s="1" t="s">
        <v>6</v>
      </c>
      <c r="AI2" s="0" t="n">
        <v>1.193089</v>
      </c>
      <c r="AK2" s="1" t="s">
        <v>6</v>
      </c>
      <c r="AL2" s="0" t="s">
        <v>474</v>
      </c>
      <c r="AM2" s="0" t="s">
        <v>468</v>
      </c>
      <c r="AN2" s="0" t="s">
        <v>469</v>
      </c>
      <c r="AO2" s="0" t="n">
        <v>4.84267</v>
      </c>
      <c r="AP2" s="0" t="n">
        <v>1</v>
      </c>
      <c r="AQ2" s="0" t="n">
        <v>1</v>
      </c>
      <c r="AS2" s="2" t="str">
        <f aca="false">IF(AND(G2="true",J2="true",M2="true",P2="true",S2="true"),"true","false")</f>
        <v>false</v>
      </c>
      <c r="AT2" s="0" t="str">
        <f aca="false">IF(AND(Y2="true",AB2="true",AE2="true",AH2="true",AK2="true"),"true","false")</f>
        <v>false</v>
      </c>
    </row>
    <row r="3" customFormat="false" ht="12.8" hidden="false" customHeight="false" outlineLevel="0" collapsed="false">
      <c r="A3" s="0" t="s">
        <v>483</v>
      </c>
      <c r="B3" s="0" t="s">
        <v>1</v>
      </c>
      <c r="C3" s="0" t="s">
        <v>474</v>
      </c>
      <c r="D3" s="0" t="s">
        <v>469</v>
      </c>
      <c r="E3" s="0" t="n">
        <v>85.387567</v>
      </c>
      <c r="F3" s="0" t="s">
        <v>480</v>
      </c>
      <c r="G3" s="1" t="s">
        <v>5</v>
      </c>
      <c r="H3" s="0" t="n">
        <v>23.317235</v>
      </c>
      <c r="I3" s="0" t="s">
        <v>476</v>
      </c>
      <c r="J3" s="1" t="s">
        <v>5</v>
      </c>
      <c r="K3" s="0" t="n">
        <v>14.383232</v>
      </c>
      <c r="L3" s="0" t="s">
        <v>484</v>
      </c>
      <c r="M3" s="1" t="s">
        <v>6</v>
      </c>
      <c r="N3" s="0" t="n">
        <v>124.966058</v>
      </c>
      <c r="O3" s="0" t="s">
        <v>478</v>
      </c>
      <c r="P3" s="1" t="s">
        <v>5</v>
      </c>
      <c r="Q3" s="0" t="n">
        <v>58.156756</v>
      </c>
      <c r="R3" s="0" t="s">
        <v>9</v>
      </c>
      <c r="S3" s="1" t="s">
        <v>6</v>
      </c>
      <c r="T3" s="0" t="s">
        <v>10</v>
      </c>
      <c r="U3" s="0" t="s">
        <v>468</v>
      </c>
      <c r="V3" s="0" t="s">
        <v>469</v>
      </c>
      <c r="W3" s="0" t="n">
        <v>84.100559</v>
      </c>
      <c r="X3" s="0" t="s">
        <v>470</v>
      </c>
      <c r="Y3" s="1" t="s">
        <v>5</v>
      </c>
      <c r="Z3" s="0" t="n">
        <v>29.587473</v>
      </c>
      <c r="AA3" s="0" t="s">
        <v>485</v>
      </c>
      <c r="AB3" s="1" t="s">
        <v>6</v>
      </c>
      <c r="AC3" s="0" t="n">
        <v>39.970416</v>
      </c>
      <c r="AD3" s="0" t="s">
        <v>486</v>
      </c>
      <c r="AE3" s="1" t="s">
        <v>5</v>
      </c>
      <c r="AF3" s="0" t="n">
        <v>14.755086</v>
      </c>
      <c r="AG3" s="0" t="s">
        <v>473</v>
      </c>
      <c r="AH3" s="1" t="s">
        <v>5</v>
      </c>
      <c r="AI3" s="0" t="n">
        <v>12.909591</v>
      </c>
      <c r="AJ3" s="0" t="s">
        <v>9</v>
      </c>
      <c r="AK3" s="1" t="s">
        <v>5</v>
      </c>
      <c r="AL3" s="0" t="s">
        <v>474</v>
      </c>
      <c r="AM3" s="0" t="s">
        <v>468</v>
      </c>
      <c r="AN3" s="0" t="s">
        <v>469</v>
      </c>
      <c r="AO3" s="0" t="n">
        <v>4.009002</v>
      </c>
      <c r="AP3" s="0" t="n">
        <v>-2</v>
      </c>
      <c r="AQ3" s="0" t="n">
        <v>2</v>
      </c>
      <c r="AS3" s="2" t="str">
        <f aca="false">IF(AND(G3="true",J3="true",M3="true",P3="true",S3="true"),"true","false")</f>
        <v>false</v>
      </c>
      <c r="AT3" s="0" t="str">
        <f aca="false">IF(AND(Y3="true",AB3="true",AE3="true",AH3="true",AK3="true"),"true","false")</f>
        <v>false</v>
      </c>
    </row>
    <row r="4" customFormat="false" ht="12.8" hidden="false" customHeight="false" outlineLevel="0" collapsed="false">
      <c r="A4" s="0" t="s">
        <v>487</v>
      </c>
      <c r="B4" s="0" t="s">
        <v>1</v>
      </c>
      <c r="C4" s="0" t="s">
        <v>474</v>
      </c>
      <c r="D4" s="0" t="s">
        <v>469</v>
      </c>
      <c r="E4" s="0" t="n">
        <v>60.605883</v>
      </c>
      <c r="F4" s="0" t="s">
        <v>488</v>
      </c>
      <c r="G4" s="1" t="s">
        <v>6</v>
      </c>
      <c r="H4" s="0" t="n">
        <v>22.327423</v>
      </c>
      <c r="I4" s="0" t="s">
        <v>481</v>
      </c>
      <c r="J4" s="1" t="s">
        <v>6</v>
      </c>
      <c r="K4" s="0" t="n">
        <v>18.857575</v>
      </c>
      <c r="L4" s="0" t="s">
        <v>484</v>
      </c>
      <c r="M4" s="1" t="s">
        <v>6</v>
      </c>
      <c r="N4" s="0" t="n">
        <v>93.59454</v>
      </c>
      <c r="O4" s="0" t="s">
        <v>478</v>
      </c>
      <c r="P4" s="1" t="s">
        <v>5</v>
      </c>
      <c r="Q4" s="0" t="n">
        <v>10.185676</v>
      </c>
      <c r="R4" s="0" t="s">
        <v>15</v>
      </c>
      <c r="S4" s="1" t="s">
        <v>6</v>
      </c>
      <c r="T4" s="0" t="s">
        <v>10</v>
      </c>
      <c r="U4" s="0" t="s">
        <v>468</v>
      </c>
      <c r="V4" s="0" t="s">
        <v>469</v>
      </c>
      <c r="W4" s="0" t="n">
        <v>97.747161</v>
      </c>
      <c r="X4" s="0" t="s">
        <v>470</v>
      </c>
      <c r="Y4" s="1" t="s">
        <v>5</v>
      </c>
      <c r="Z4" s="0" t="n">
        <v>51.986605</v>
      </c>
      <c r="AA4" s="0" t="s">
        <v>471</v>
      </c>
      <c r="AB4" s="1" t="s">
        <v>5</v>
      </c>
      <c r="AC4" s="0" t="n">
        <v>47.270447</v>
      </c>
      <c r="AD4" s="0" t="s">
        <v>489</v>
      </c>
      <c r="AE4" s="1" t="s">
        <v>6</v>
      </c>
      <c r="AF4" s="0" t="n">
        <v>1.515256</v>
      </c>
      <c r="AH4" s="1" t="s">
        <v>6</v>
      </c>
      <c r="AI4" s="0" t="n">
        <v>0.981519</v>
      </c>
      <c r="AK4" s="1" t="s">
        <v>6</v>
      </c>
      <c r="AL4" s="0" t="s">
        <v>474</v>
      </c>
      <c r="AM4" s="0" t="s">
        <v>468</v>
      </c>
      <c r="AN4" s="0" t="s">
        <v>469</v>
      </c>
      <c r="AO4" s="0" t="n">
        <v>4.371718</v>
      </c>
      <c r="AP4" s="0" t="n">
        <v>0</v>
      </c>
      <c r="AQ4" s="0" t="n">
        <v>0</v>
      </c>
      <c r="AS4" s="2" t="str">
        <f aca="false">IF(AND(G4="true",J4="true",M4="true",P4="true",S4="true"),"true","false")</f>
        <v>false</v>
      </c>
      <c r="AT4" s="0" t="str">
        <f aca="false">IF(AND(Y4="true",AB4="true",AE4="true",AH4="true",AK4="true"),"true","false")</f>
        <v>false</v>
      </c>
    </row>
    <row r="5" customFormat="false" ht="12.8" hidden="false" customHeight="false" outlineLevel="0" collapsed="false">
      <c r="A5" s="0" t="s">
        <v>490</v>
      </c>
      <c r="B5" s="0" t="s">
        <v>1</v>
      </c>
      <c r="C5" s="0" t="s">
        <v>468</v>
      </c>
      <c r="D5" s="0" t="s">
        <v>469</v>
      </c>
      <c r="E5" s="0" t="n">
        <v>86.515457</v>
      </c>
      <c r="F5" s="0" t="s">
        <v>470</v>
      </c>
      <c r="G5" s="1" t="s">
        <v>5</v>
      </c>
      <c r="H5" s="0" t="n">
        <v>41.96647</v>
      </c>
      <c r="I5" s="0" t="s">
        <v>471</v>
      </c>
      <c r="J5" s="1" t="s">
        <v>5</v>
      </c>
      <c r="K5" s="0" t="n">
        <v>26.031767</v>
      </c>
      <c r="L5" s="0" t="s">
        <v>489</v>
      </c>
      <c r="M5" s="1" t="s">
        <v>6</v>
      </c>
      <c r="N5" s="0" t="n">
        <v>17.366035</v>
      </c>
      <c r="O5" s="0" t="s">
        <v>473</v>
      </c>
      <c r="P5" s="1" t="s">
        <v>5</v>
      </c>
      <c r="Q5" s="0" t="n">
        <v>6.88342</v>
      </c>
      <c r="R5" s="0" t="s">
        <v>51</v>
      </c>
      <c r="S5" s="1" t="s">
        <v>5</v>
      </c>
      <c r="T5" s="0" t="s">
        <v>10</v>
      </c>
      <c r="U5" s="0" t="s">
        <v>474</v>
      </c>
      <c r="V5" s="0" t="s">
        <v>469</v>
      </c>
      <c r="W5" s="0" t="n">
        <v>48.242242</v>
      </c>
      <c r="Y5" s="1" t="s">
        <v>6</v>
      </c>
      <c r="Z5" s="0" t="n">
        <v>2.224876</v>
      </c>
      <c r="AB5" s="1" t="s">
        <v>6</v>
      </c>
      <c r="AC5" s="0" t="n">
        <v>0.568318</v>
      </c>
      <c r="AE5" s="1" t="s">
        <v>6</v>
      </c>
      <c r="AF5" s="0" t="n">
        <v>1.350975</v>
      </c>
      <c r="AH5" s="1" t="s">
        <v>6</v>
      </c>
      <c r="AI5" s="0" t="n">
        <v>0.646302</v>
      </c>
      <c r="AK5" s="1" t="s">
        <v>6</v>
      </c>
      <c r="AL5" s="0" t="s">
        <v>468</v>
      </c>
      <c r="AM5" s="0" t="s">
        <v>474</v>
      </c>
      <c r="AN5" s="0" t="s">
        <v>469</v>
      </c>
      <c r="AO5" s="0" t="n">
        <v>1.242341</v>
      </c>
      <c r="AS5" s="2" t="str">
        <f aca="false">IF(AND(G5="true",J5="true",M5="true",P5="true",S5="true"),"true","false")</f>
        <v>false</v>
      </c>
      <c r="AT5" s="0" t="str">
        <f aca="false">IF(AND(Y5="true",AB5="true",AE5="true",AH5="true",AK5="true"),"true","false")</f>
        <v>false</v>
      </c>
    </row>
    <row r="6" customFormat="false" ht="12.8" hidden="false" customHeight="false" outlineLevel="0" collapsed="false">
      <c r="A6" s="0" t="s">
        <v>491</v>
      </c>
      <c r="B6" s="0" t="s">
        <v>1</v>
      </c>
      <c r="C6" s="0" t="s">
        <v>468</v>
      </c>
      <c r="D6" s="0" t="s">
        <v>469</v>
      </c>
      <c r="E6" s="0" t="n">
        <v>48.744582</v>
      </c>
      <c r="F6" s="0" t="s">
        <v>492</v>
      </c>
      <c r="G6" s="1" t="s">
        <v>6</v>
      </c>
      <c r="H6" s="0" t="n">
        <v>12.39327</v>
      </c>
      <c r="I6" s="0" t="s">
        <v>493</v>
      </c>
      <c r="J6" s="1" t="s">
        <v>6</v>
      </c>
      <c r="K6" s="0" t="n">
        <v>19.793971</v>
      </c>
      <c r="L6" s="0" t="s">
        <v>494</v>
      </c>
      <c r="M6" s="1" t="s">
        <v>6</v>
      </c>
      <c r="N6" s="0" t="n">
        <v>17.279235</v>
      </c>
      <c r="O6" s="0" t="s">
        <v>473</v>
      </c>
      <c r="P6" s="1" t="s">
        <v>5</v>
      </c>
      <c r="Q6" s="0" t="n">
        <v>7.003902</v>
      </c>
      <c r="R6" s="0" t="s">
        <v>15</v>
      </c>
      <c r="S6" s="1" t="s">
        <v>6</v>
      </c>
      <c r="T6" s="0" t="s">
        <v>10</v>
      </c>
      <c r="U6" s="0" t="s">
        <v>474</v>
      </c>
      <c r="V6" s="0" t="s">
        <v>469</v>
      </c>
      <c r="W6" s="0" t="n">
        <v>5.720273</v>
      </c>
      <c r="Y6" s="1" t="s">
        <v>6</v>
      </c>
      <c r="Z6" s="0" t="n">
        <v>0.646983</v>
      </c>
      <c r="AB6" s="1" t="s">
        <v>6</v>
      </c>
      <c r="AC6" s="0" t="n">
        <v>0.565398</v>
      </c>
      <c r="AE6" s="1" t="s">
        <v>6</v>
      </c>
      <c r="AF6" s="0" t="n">
        <v>2.31986</v>
      </c>
      <c r="AH6" s="1" t="s">
        <v>6</v>
      </c>
      <c r="AI6" s="0" t="n">
        <v>2.420953</v>
      </c>
      <c r="AJ6" s="0" t="s">
        <v>15</v>
      </c>
      <c r="AK6" s="1" t="s">
        <v>6</v>
      </c>
      <c r="AL6" s="0" t="s">
        <v>468</v>
      </c>
      <c r="AM6" s="0" t="s">
        <v>474</v>
      </c>
      <c r="AN6" s="0" t="s">
        <v>469</v>
      </c>
      <c r="AO6" s="0" t="n">
        <v>3.294623</v>
      </c>
      <c r="AP6" s="0" t="n">
        <v>1</v>
      </c>
      <c r="AQ6" s="0" t="n">
        <v>0</v>
      </c>
      <c r="AS6" s="2" t="str">
        <f aca="false">IF(AND(G6="true",J6="true",M6="true",P6="true",S6="true"),"true","false")</f>
        <v>false</v>
      </c>
      <c r="AT6" s="0" t="str">
        <f aca="false">IF(AND(Y6="true",AB6="true",AE6="true",AH6="true",AK6="true"),"true","false")</f>
        <v>false</v>
      </c>
    </row>
    <row r="7" customFormat="false" ht="12.8" hidden="false" customHeight="false" outlineLevel="0" collapsed="false">
      <c r="A7" s="0" t="s">
        <v>495</v>
      </c>
      <c r="B7" s="0" t="s">
        <v>1</v>
      </c>
      <c r="C7" s="0" t="s">
        <v>468</v>
      </c>
      <c r="D7" s="0" t="s">
        <v>469</v>
      </c>
      <c r="E7" s="0" t="n">
        <v>71.998169</v>
      </c>
      <c r="F7" s="0" t="s">
        <v>470</v>
      </c>
      <c r="G7" s="1" t="s">
        <v>5</v>
      </c>
      <c r="H7" s="0" t="n">
        <v>41.07985</v>
      </c>
      <c r="I7" s="0" t="s">
        <v>485</v>
      </c>
      <c r="J7" s="1" t="s">
        <v>6</v>
      </c>
      <c r="K7" s="0" t="n">
        <v>35.191469</v>
      </c>
      <c r="L7" s="0" t="s">
        <v>486</v>
      </c>
      <c r="M7" s="1" t="s">
        <v>5</v>
      </c>
      <c r="N7" s="0" t="n">
        <v>23.041459</v>
      </c>
      <c r="O7" s="0" t="s">
        <v>473</v>
      </c>
      <c r="P7" s="1" t="s">
        <v>5</v>
      </c>
      <c r="Q7" s="0" t="n">
        <v>32.16587</v>
      </c>
      <c r="R7" s="0" t="s">
        <v>15</v>
      </c>
      <c r="S7" s="1" t="s">
        <v>6</v>
      </c>
      <c r="T7" s="0" t="s">
        <v>10</v>
      </c>
      <c r="U7" s="0" t="s">
        <v>474</v>
      </c>
      <c r="V7" s="0" t="s">
        <v>469</v>
      </c>
      <c r="W7" s="0" t="n">
        <v>53.88848</v>
      </c>
      <c r="X7" s="0" t="s">
        <v>480</v>
      </c>
      <c r="Y7" s="1" t="s">
        <v>5</v>
      </c>
      <c r="Z7" s="0" t="n">
        <v>31.563119</v>
      </c>
      <c r="AA7" s="0" t="s">
        <v>476</v>
      </c>
      <c r="AB7" s="1" t="s">
        <v>5</v>
      </c>
      <c r="AC7" s="0" t="n">
        <v>21.929879</v>
      </c>
      <c r="AD7" s="0" t="s">
        <v>477</v>
      </c>
      <c r="AE7" s="1" t="s">
        <v>5</v>
      </c>
      <c r="AF7" s="0" t="n">
        <v>41.377167</v>
      </c>
      <c r="AG7" s="0" t="s">
        <v>478</v>
      </c>
      <c r="AH7" s="1" t="s">
        <v>5</v>
      </c>
      <c r="AI7" s="0" t="n">
        <v>49.139776</v>
      </c>
      <c r="AJ7" s="0" t="s">
        <v>51</v>
      </c>
      <c r="AK7" s="1" t="s">
        <v>6</v>
      </c>
      <c r="AL7" s="0" t="s">
        <v>468</v>
      </c>
      <c r="AM7" s="0" t="s">
        <v>474</v>
      </c>
      <c r="AN7" s="0" t="s">
        <v>469</v>
      </c>
      <c r="AO7" s="0" t="n">
        <v>7.143852</v>
      </c>
      <c r="AP7" s="0" t="n">
        <v>-1</v>
      </c>
      <c r="AQ7" s="0" t="n">
        <v>-1</v>
      </c>
      <c r="AS7" s="2" t="str">
        <f aca="false">IF(AND(G7="true",J7="true",M7="true",P7="true",S7="true"),"true","false")</f>
        <v>false</v>
      </c>
      <c r="AT7" s="0" t="str">
        <f aca="false">IF(AND(Y7="true",AB7="true",AE7="true",AH7="true",AK7="true"),"true","false")</f>
        <v>false</v>
      </c>
    </row>
    <row r="8" customFormat="false" ht="12.8" hidden="false" customHeight="false" outlineLevel="0" collapsed="false">
      <c r="A8" s="0" t="s">
        <v>496</v>
      </c>
      <c r="B8" s="0" t="s">
        <v>1</v>
      </c>
      <c r="C8" s="0" t="s">
        <v>474</v>
      </c>
      <c r="D8" s="0" t="s">
        <v>469</v>
      </c>
      <c r="E8" s="0" t="n">
        <v>101.024099</v>
      </c>
      <c r="F8" s="0" t="s">
        <v>488</v>
      </c>
      <c r="G8" s="1" t="s">
        <v>6</v>
      </c>
      <c r="H8" s="0" t="n">
        <v>23.374286</v>
      </c>
      <c r="I8" s="0" t="s">
        <v>497</v>
      </c>
      <c r="J8" s="1" t="s">
        <v>6</v>
      </c>
      <c r="K8" s="0" t="n">
        <v>17.897133</v>
      </c>
      <c r="L8" s="0" t="s">
        <v>477</v>
      </c>
      <c r="M8" s="1" t="s">
        <v>5</v>
      </c>
      <c r="N8" s="0" t="n">
        <v>142.751485</v>
      </c>
      <c r="O8" s="0" t="s">
        <v>478</v>
      </c>
      <c r="P8" s="1" t="s">
        <v>5</v>
      </c>
      <c r="Q8" s="0" t="n">
        <v>12.473775</v>
      </c>
      <c r="R8" s="0" t="s">
        <v>15</v>
      </c>
      <c r="S8" s="1" t="s">
        <v>6</v>
      </c>
      <c r="T8" s="0" t="s">
        <v>10</v>
      </c>
      <c r="U8" s="0" t="s">
        <v>468</v>
      </c>
      <c r="V8" s="0" t="s">
        <v>469</v>
      </c>
      <c r="W8" s="0" t="n">
        <v>73.084218</v>
      </c>
      <c r="X8" s="0" t="s">
        <v>470</v>
      </c>
      <c r="Y8" s="1" t="s">
        <v>5</v>
      </c>
      <c r="Z8" s="0" t="n">
        <v>19.124113</v>
      </c>
      <c r="AA8" s="0" t="s">
        <v>498</v>
      </c>
      <c r="AB8" s="1" t="s">
        <v>6</v>
      </c>
      <c r="AC8" s="0" t="n">
        <v>47.369769</v>
      </c>
      <c r="AD8" s="0" t="s">
        <v>498</v>
      </c>
      <c r="AE8" s="1" t="s">
        <v>6</v>
      </c>
      <c r="AF8" s="0" t="n">
        <v>30.39449</v>
      </c>
      <c r="AG8" s="0" t="s">
        <v>499</v>
      </c>
      <c r="AH8" s="1" t="s">
        <v>6</v>
      </c>
      <c r="AI8" s="0" t="n">
        <v>13.309174</v>
      </c>
      <c r="AJ8" s="0" t="s">
        <v>51</v>
      </c>
      <c r="AK8" s="1" t="s">
        <v>6</v>
      </c>
      <c r="AL8" s="0" t="s">
        <v>474</v>
      </c>
      <c r="AM8" s="0" t="s">
        <v>468</v>
      </c>
      <c r="AN8" s="0" t="s">
        <v>469</v>
      </c>
      <c r="AO8" s="0" t="n">
        <v>4.875909</v>
      </c>
      <c r="AP8" s="0" t="n">
        <v>-1</v>
      </c>
      <c r="AQ8" s="0" t="n">
        <v>-1</v>
      </c>
      <c r="AS8" s="2" t="str">
        <f aca="false">IF(AND(G8="true",J8="true",M8="true",P8="true",S8="true"),"true","false")</f>
        <v>false</v>
      </c>
      <c r="AT8" s="0" t="str">
        <f aca="false">IF(AND(Y8="true",AB8="true",AE8="true",AH8="true",AK8="true"),"true","false")</f>
        <v>false</v>
      </c>
    </row>
    <row r="9" customFormat="false" ht="12.8" hidden="false" customHeight="false" outlineLevel="0" collapsed="false">
      <c r="A9" s="0" t="s">
        <v>500</v>
      </c>
      <c r="B9" s="0" t="s">
        <v>1</v>
      </c>
      <c r="C9" s="0" t="s">
        <v>468</v>
      </c>
      <c r="D9" s="0" t="s">
        <v>469</v>
      </c>
      <c r="E9" s="0" t="n">
        <v>67.268417</v>
      </c>
      <c r="F9" s="0" t="s">
        <v>470</v>
      </c>
      <c r="G9" s="1" t="s">
        <v>5</v>
      </c>
      <c r="H9" s="0" t="n">
        <v>48.616063</v>
      </c>
      <c r="I9" s="0" t="s">
        <v>471</v>
      </c>
      <c r="J9" s="1" t="s">
        <v>5</v>
      </c>
      <c r="K9" s="0" t="n">
        <v>25.925515</v>
      </c>
      <c r="L9" s="0" t="s">
        <v>486</v>
      </c>
      <c r="M9" s="1" t="s">
        <v>5</v>
      </c>
      <c r="N9" s="0" t="n">
        <v>22.349649</v>
      </c>
      <c r="O9" s="0" t="s">
        <v>473</v>
      </c>
      <c r="P9" s="1" t="s">
        <v>5</v>
      </c>
      <c r="Q9" s="0" t="n">
        <v>32.660083</v>
      </c>
      <c r="R9" s="0" t="s">
        <v>51</v>
      </c>
      <c r="S9" s="1" t="s">
        <v>5</v>
      </c>
      <c r="T9" s="0" t="s">
        <v>10</v>
      </c>
      <c r="U9" s="0" t="s">
        <v>474</v>
      </c>
      <c r="V9" s="0" t="s">
        <v>469</v>
      </c>
      <c r="W9" s="0" t="n">
        <v>49.939849</v>
      </c>
      <c r="X9" s="0" t="s">
        <v>480</v>
      </c>
      <c r="Y9" s="1" t="s">
        <v>5</v>
      </c>
      <c r="Z9" s="0" t="n">
        <v>15.036926</v>
      </c>
      <c r="AA9" s="0" t="s">
        <v>501</v>
      </c>
      <c r="AB9" s="1" t="s">
        <v>6</v>
      </c>
      <c r="AC9" s="0" t="n">
        <v>9.083654</v>
      </c>
      <c r="AD9" s="0" t="s">
        <v>502</v>
      </c>
      <c r="AE9" s="1" t="s">
        <v>6</v>
      </c>
      <c r="AF9" s="0" t="n">
        <v>27.756195</v>
      </c>
      <c r="AG9" s="0" t="s">
        <v>503</v>
      </c>
      <c r="AH9" s="1" t="s">
        <v>6</v>
      </c>
      <c r="AI9" s="0" t="n">
        <v>9.759487</v>
      </c>
      <c r="AJ9" s="0" t="s">
        <v>9</v>
      </c>
      <c r="AK9" s="1" t="s">
        <v>5</v>
      </c>
      <c r="AL9" s="0" t="s">
        <v>468</v>
      </c>
      <c r="AM9" s="0" t="s">
        <v>474</v>
      </c>
      <c r="AN9" s="0" t="s">
        <v>469</v>
      </c>
      <c r="AO9" s="0" t="n">
        <v>23.371758</v>
      </c>
      <c r="AP9" s="0" t="n">
        <v>-1</v>
      </c>
      <c r="AQ9" s="0" t="n">
        <v>0</v>
      </c>
      <c r="AS9" s="2" t="str">
        <f aca="false">IF(AND(G9="true",J9="true",M9="true",P9="true",S9="true"),"true","false")</f>
        <v>true</v>
      </c>
      <c r="AT9" s="0" t="str">
        <f aca="false">IF(AND(Y9="true",AB9="true",AE9="true",AH9="true",AK9="true"),"true","false")</f>
        <v>false</v>
      </c>
    </row>
    <row r="10" customFormat="false" ht="12.8" hidden="false" customHeight="false" outlineLevel="0" collapsed="false">
      <c r="A10" s="0" t="s">
        <v>504</v>
      </c>
      <c r="B10" s="0" t="s">
        <v>1</v>
      </c>
      <c r="C10" s="0" t="s">
        <v>468</v>
      </c>
      <c r="D10" s="0" t="s">
        <v>469</v>
      </c>
      <c r="E10" s="0" t="n">
        <v>74.935903</v>
      </c>
      <c r="F10" s="0" t="s">
        <v>470</v>
      </c>
      <c r="G10" s="1" t="s">
        <v>5</v>
      </c>
      <c r="H10" s="0" t="n">
        <v>42.456404</v>
      </c>
      <c r="I10" s="0" t="s">
        <v>494</v>
      </c>
      <c r="J10" s="1" t="s">
        <v>6</v>
      </c>
      <c r="K10" s="0" t="n">
        <v>0.299745</v>
      </c>
      <c r="M10" s="1" t="s">
        <v>6</v>
      </c>
      <c r="N10" s="0" t="n">
        <v>14.582821</v>
      </c>
      <c r="O10" s="0" t="s">
        <v>473</v>
      </c>
      <c r="P10" s="1" t="s">
        <v>5</v>
      </c>
      <c r="Q10" s="0" t="n">
        <v>19.55786</v>
      </c>
      <c r="R10" s="0" t="s">
        <v>9</v>
      </c>
      <c r="S10" s="1" t="s">
        <v>6</v>
      </c>
      <c r="T10" s="0" t="s">
        <v>10</v>
      </c>
      <c r="U10" s="0" t="s">
        <v>474</v>
      </c>
      <c r="V10" s="0" t="s">
        <v>469</v>
      </c>
      <c r="W10" s="0" t="n">
        <v>39.675595</v>
      </c>
      <c r="X10" s="0" t="s">
        <v>480</v>
      </c>
      <c r="Y10" s="1" t="s">
        <v>5</v>
      </c>
      <c r="Z10" s="0" t="n">
        <v>24.628834</v>
      </c>
      <c r="AA10" s="0" t="s">
        <v>476</v>
      </c>
      <c r="AB10" s="1" t="s">
        <v>5</v>
      </c>
      <c r="AC10" s="0" t="n">
        <v>14.485472</v>
      </c>
      <c r="AD10" s="0" t="s">
        <v>477</v>
      </c>
      <c r="AE10" s="1" t="s">
        <v>5</v>
      </c>
      <c r="AF10" s="0" t="n">
        <v>42.246774</v>
      </c>
      <c r="AG10" s="0" t="s">
        <v>478</v>
      </c>
      <c r="AH10" s="1" t="s">
        <v>5</v>
      </c>
      <c r="AI10" s="0" t="n">
        <v>6.466899</v>
      </c>
      <c r="AJ10" s="0" t="s">
        <v>51</v>
      </c>
      <c r="AK10" s="1" t="s">
        <v>6</v>
      </c>
      <c r="AL10" s="0" t="s">
        <v>468</v>
      </c>
      <c r="AM10" s="0" t="s">
        <v>474</v>
      </c>
      <c r="AN10" s="0" t="s">
        <v>469</v>
      </c>
      <c r="AO10" s="0" t="n">
        <v>3.441091</v>
      </c>
      <c r="AP10" s="0" t="n">
        <v>1</v>
      </c>
      <c r="AQ10" s="0" t="n">
        <v>0</v>
      </c>
      <c r="AS10" s="2" t="str">
        <f aca="false">IF(AND(G10="true",J10="true",M10="true",P10="true",S10="true"),"true","false")</f>
        <v>false</v>
      </c>
      <c r="AT10" s="0" t="str">
        <f aca="false">IF(AND(Y10="true",AB10="true",AE10="true",AH10="true",AK10="true"),"true","false")</f>
        <v>false</v>
      </c>
    </row>
    <row r="11" customFormat="false" ht="12.8" hidden="false" customHeight="false" outlineLevel="0" collapsed="false">
      <c r="A11" s="0" t="s">
        <v>505</v>
      </c>
      <c r="B11" s="0" t="s">
        <v>1</v>
      </c>
      <c r="C11" s="0" t="s">
        <v>468</v>
      </c>
      <c r="D11" s="0" t="s">
        <v>469</v>
      </c>
      <c r="E11" s="0" t="n">
        <v>131.826454</v>
      </c>
      <c r="F11" s="0" t="s">
        <v>470</v>
      </c>
      <c r="G11" s="1" t="s">
        <v>5</v>
      </c>
      <c r="H11" s="0" t="n">
        <v>40.778819</v>
      </c>
      <c r="I11" s="0" t="s">
        <v>506</v>
      </c>
      <c r="J11" s="1" t="s">
        <v>6</v>
      </c>
      <c r="K11" s="0" t="n">
        <v>26.038636</v>
      </c>
      <c r="L11" s="0" t="s">
        <v>486</v>
      </c>
      <c r="M11" s="1" t="s">
        <v>5</v>
      </c>
      <c r="N11" s="0" t="n">
        <v>29.534127</v>
      </c>
      <c r="O11" s="0" t="s">
        <v>473</v>
      </c>
      <c r="P11" s="1" t="s">
        <v>5</v>
      </c>
      <c r="Q11" s="0" t="n">
        <v>10.694559</v>
      </c>
      <c r="R11" s="0" t="s">
        <v>15</v>
      </c>
      <c r="S11" s="1" t="s">
        <v>6</v>
      </c>
      <c r="T11" s="0" t="s">
        <v>10</v>
      </c>
      <c r="U11" s="0" t="s">
        <v>474</v>
      </c>
      <c r="V11" s="0" t="s">
        <v>469</v>
      </c>
      <c r="W11" s="0" t="n">
        <v>70.23462</v>
      </c>
      <c r="X11" s="0" t="s">
        <v>507</v>
      </c>
      <c r="Y11" s="1" t="s">
        <v>6</v>
      </c>
      <c r="Z11" s="0" t="n">
        <v>29.814047</v>
      </c>
      <c r="AA11" s="0" t="s">
        <v>476</v>
      </c>
      <c r="AB11" s="1" t="s">
        <v>5</v>
      </c>
      <c r="AC11" s="0" t="n">
        <v>13.534544</v>
      </c>
      <c r="AD11" s="0" t="s">
        <v>477</v>
      </c>
      <c r="AE11" s="1" t="s">
        <v>5</v>
      </c>
      <c r="AF11" s="0" t="n">
        <v>70.342424</v>
      </c>
      <c r="AG11" s="0" t="s">
        <v>478</v>
      </c>
      <c r="AH11" s="1" t="s">
        <v>5</v>
      </c>
      <c r="AI11" s="0" t="n">
        <v>18.742203</v>
      </c>
      <c r="AJ11" s="0" t="s">
        <v>15</v>
      </c>
      <c r="AK11" s="1" t="s">
        <v>6</v>
      </c>
      <c r="AL11" s="0" t="s">
        <v>468</v>
      </c>
      <c r="AM11" s="0" t="s">
        <v>474</v>
      </c>
      <c r="AN11" s="0" t="s">
        <v>469</v>
      </c>
      <c r="AO11" s="0" t="n">
        <v>9.536076</v>
      </c>
      <c r="AP11" s="0" t="n">
        <v>1</v>
      </c>
      <c r="AQ11" s="0" t="n">
        <v>0</v>
      </c>
      <c r="AS11" s="2" t="str">
        <f aca="false">IF(AND(G11="true",J11="true",M11="true",P11="true",S11="true"),"true","false")</f>
        <v>false</v>
      </c>
      <c r="AT11" s="0" t="str">
        <f aca="false">IF(AND(Y11="true",AB11="true",AE11="true",AH11="true",AK11="true"),"true","false")</f>
        <v>false</v>
      </c>
    </row>
    <row r="12" customFormat="false" ht="12.8" hidden="false" customHeight="false" outlineLevel="0" collapsed="false">
      <c r="A12" s="0" t="s">
        <v>508</v>
      </c>
      <c r="B12" s="0" t="s">
        <v>1</v>
      </c>
      <c r="C12" s="0" t="s">
        <v>474</v>
      </c>
      <c r="D12" s="0" t="s">
        <v>469</v>
      </c>
      <c r="E12" s="0" t="n">
        <v>104.279069</v>
      </c>
      <c r="F12" s="0" t="s">
        <v>480</v>
      </c>
      <c r="G12" s="1" t="s">
        <v>5</v>
      </c>
      <c r="H12" s="0" t="n">
        <v>27.27525</v>
      </c>
      <c r="I12" s="0" t="s">
        <v>509</v>
      </c>
      <c r="J12" s="1" t="s">
        <v>6</v>
      </c>
      <c r="K12" s="0" t="n">
        <v>20.527348</v>
      </c>
      <c r="L12" s="0" t="s">
        <v>477</v>
      </c>
      <c r="M12" s="1" t="s">
        <v>5</v>
      </c>
      <c r="N12" s="0" t="n">
        <v>79.342483</v>
      </c>
      <c r="O12" s="0" t="s">
        <v>478</v>
      </c>
      <c r="P12" s="1" t="s">
        <v>5</v>
      </c>
      <c r="Q12" s="0" t="n">
        <v>9.17097</v>
      </c>
      <c r="R12" s="0" t="s">
        <v>15</v>
      </c>
      <c r="S12" s="1" t="s">
        <v>6</v>
      </c>
      <c r="T12" s="0" t="s">
        <v>10</v>
      </c>
      <c r="U12" s="0" t="s">
        <v>468</v>
      </c>
      <c r="V12" s="0" t="s">
        <v>469</v>
      </c>
      <c r="W12" s="0" t="n">
        <v>62.546543</v>
      </c>
      <c r="X12" s="0" t="s">
        <v>470</v>
      </c>
      <c r="Y12" s="1" t="s">
        <v>5</v>
      </c>
      <c r="Z12" s="0" t="n">
        <v>67.612794</v>
      </c>
      <c r="AA12" s="0" t="s">
        <v>494</v>
      </c>
      <c r="AB12" s="1" t="s">
        <v>6</v>
      </c>
      <c r="AC12" s="0" t="n">
        <v>24.98945</v>
      </c>
      <c r="AD12" s="0" t="s">
        <v>486</v>
      </c>
      <c r="AE12" s="1" t="s">
        <v>5</v>
      </c>
      <c r="AF12" s="0" t="n">
        <v>16.537533</v>
      </c>
      <c r="AG12" s="0" t="s">
        <v>473</v>
      </c>
      <c r="AH12" s="1" t="s">
        <v>5</v>
      </c>
      <c r="AI12" s="0" t="n">
        <v>4.187698</v>
      </c>
      <c r="AJ12" s="0" t="s">
        <v>15</v>
      </c>
      <c r="AK12" s="1" t="s">
        <v>6</v>
      </c>
      <c r="AL12" s="0" t="s">
        <v>474</v>
      </c>
      <c r="AM12" s="0" t="s">
        <v>468</v>
      </c>
      <c r="AN12" s="0" t="s">
        <v>469</v>
      </c>
      <c r="AO12" s="0" t="n">
        <v>42.026359</v>
      </c>
      <c r="AP12" s="0" t="n">
        <v>-1</v>
      </c>
      <c r="AQ12" s="0" t="n">
        <v>2</v>
      </c>
      <c r="AR12" s="0" t="s">
        <v>510</v>
      </c>
      <c r="AS12" s="2" t="str">
        <f aca="false">IF(AND(G12="true",J12="true",M12="true",P12="true",S12="true"),"true","false")</f>
        <v>false</v>
      </c>
      <c r="AT12" s="0" t="str">
        <f aca="false">IF(AND(Y12="true",AB12="true",AE12="true",AH12="true",AK12="true"),"true","false")</f>
        <v>false</v>
      </c>
    </row>
    <row r="13" customFormat="false" ht="12.8" hidden="false" customHeight="false" outlineLevel="0" collapsed="false">
      <c r="A13" s="0" t="s">
        <v>511</v>
      </c>
      <c r="B13" s="0" t="s">
        <v>1</v>
      </c>
      <c r="C13" s="0" t="s">
        <v>468</v>
      </c>
      <c r="D13" s="0" t="s">
        <v>469</v>
      </c>
      <c r="E13" s="0" t="n">
        <v>68.212762</v>
      </c>
      <c r="F13" s="0" t="s">
        <v>470</v>
      </c>
      <c r="G13" s="1" t="s">
        <v>5</v>
      </c>
      <c r="H13" s="0" t="n">
        <v>50.343499</v>
      </c>
      <c r="I13" s="0" t="s">
        <v>471</v>
      </c>
      <c r="J13" s="1" t="s">
        <v>5</v>
      </c>
      <c r="K13" s="0" t="n">
        <v>37.550166</v>
      </c>
      <c r="L13" s="0" t="s">
        <v>486</v>
      </c>
      <c r="M13" s="1" t="s">
        <v>5</v>
      </c>
      <c r="N13" s="0" t="n">
        <v>20.97201</v>
      </c>
      <c r="O13" s="0" t="s">
        <v>473</v>
      </c>
      <c r="P13" s="1" t="s">
        <v>5</v>
      </c>
      <c r="Q13" s="0" t="n">
        <v>18.963269</v>
      </c>
      <c r="R13" s="0" t="s">
        <v>15</v>
      </c>
      <c r="S13" s="1" t="s">
        <v>6</v>
      </c>
      <c r="T13" s="0" t="s">
        <v>10</v>
      </c>
      <c r="U13" s="0" t="s">
        <v>474</v>
      </c>
      <c r="V13" s="0" t="s">
        <v>469</v>
      </c>
      <c r="W13" s="0" t="n">
        <v>57.125162</v>
      </c>
      <c r="X13" s="0" t="s">
        <v>480</v>
      </c>
      <c r="Y13" s="1" t="s">
        <v>5</v>
      </c>
      <c r="Z13" s="0" t="n">
        <v>33.815778</v>
      </c>
      <c r="AA13" s="0" t="s">
        <v>476</v>
      </c>
      <c r="AB13" s="1" t="s">
        <v>5</v>
      </c>
      <c r="AC13" s="0" t="n">
        <v>15.508576</v>
      </c>
      <c r="AD13" s="0" t="s">
        <v>477</v>
      </c>
      <c r="AE13" s="1" t="s">
        <v>5</v>
      </c>
      <c r="AF13" s="0" t="n">
        <v>43.251593</v>
      </c>
      <c r="AG13" s="0" t="s">
        <v>478</v>
      </c>
      <c r="AH13" s="1" t="s">
        <v>5</v>
      </c>
      <c r="AI13" s="0" t="n">
        <v>4.895942</v>
      </c>
      <c r="AJ13" s="0" t="s">
        <v>15</v>
      </c>
      <c r="AK13" s="1" t="s">
        <v>6</v>
      </c>
      <c r="AL13" s="0" t="s">
        <v>468</v>
      </c>
      <c r="AM13" s="0" t="s">
        <v>474</v>
      </c>
      <c r="AN13" s="0" t="s">
        <v>469</v>
      </c>
      <c r="AO13" s="0" t="n">
        <v>1.804213</v>
      </c>
      <c r="AS13" s="2" t="str">
        <f aca="false">IF(AND(G13="true",J13="true",M13="true",P13="true",S13="true"),"true","false")</f>
        <v>false</v>
      </c>
      <c r="AT13" s="0" t="str">
        <f aca="false">IF(AND(Y13="true",AB13="true",AE13="true",AH13="true",AK13="true"),"true","false")</f>
        <v>false</v>
      </c>
    </row>
    <row r="14" customFormat="false" ht="12.8" hidden="false" customHeight="false" outlineLevel="0" collapsed="false">
      <c r="A14" s="0" t="s">
        <v>512</v>
      </c>
      <c r="B14" s="0" t="s">
        <v>1</v>
      </c>
      <c r="C14" s="0" t="s">
        <v>468</v>
      </c>
      <c r="D14" s="0" t="s">
        <v>469</v>
      </c>
      <c r="E14" s="0" t="n">
        <v>69.958724</v>
      </c>
      <c r="F14" s="0" t="s">
        <v>494</v>
      </c>
      <c r="G14" s="1" t="s">
        <v>6</v>
      </c>
      <c r="H14" s="0" t="n">
        <v>63.433191</v>
      </c>
      <c r="I14" s="0" t="s">
        <v>513</v>
      </c>
      <c r="J14" s="1" t="s">
        <v>6</v>
      </c>
      <c r="K14" s="0" t="n">
        <v>39.991721</v>
      </c>
      <c r="L14" s="0" t="s">
        <v>486</v>
      </c>
      <c r="M14" s="1" t="s">
        <v>5</v>
      </c>
      <c r="N14" s="0" t="n">
        <v>15.071086</v>
      </c>
      <c r="O14" s="0" t="s">
        <v>473</v>
      </c>
      <c r="P14" s="1" t="s">
        <v>5</v>
      </c>
      <c r="Q14" s="0" t="n">
        <v>5.312127</v>
      </c>
      <c r="R14" s="0" t="s">
        <v>9</v>
      </c>
      <c r="S14" s="1" t="s">
        <v>6</v>
      </c>
      <c r="T14" s="0" t="s">
        <v>10</v>
      </c>
      <c r="U14" s="0" t="s">
        <v>474</v>
      </c>
      <c r="V14" s="0" t="s">
        <v>469</v>
      </c>
      <c r="W14" s="0" t="n">
        <v>80.271797</v>
      </c>
      <c r="X14" s="0" t="s">
        <v>480</v>
      </c>
      <c r="Y14" s="1" t="s">
        <v>5</v>
      </c>
      <c r="Z14" s="0" t="n">
        <v>36.309956</v>
      </c>
      <c r="AA14" s="0" t="s">
        <v>476</v>
      </c>
      <c r="AB14" s="1" t="s">
        <v>5</v>
      </c>
      <c r="AC14" s="0" t="n">
        <v>28.26705</v>
      </c>
      <c r="AD14" s="0" t="s">
        <v>477</v>
      </c>
      <c r="AE14" s="1" t="s">
        <v>5</v>
      </c>
      <c r="AF14" s="0" t="n">
        <v>49.062577</v>
      </c>
      <c r="AG14" s="0" t="s">
        <v>478</v>
      </c>
      <c r="AH14" s="1" t="s">
        <v>5</v>
      </c>
      <c r="AI14" s="0" t="n">
        <v>7.701363</v>
      </c>
      <c r="AJ14" s="0" t="s">
        <v>9</v>
      </c>
      <c r="AK14" s="1" t="s">
        <v>5</v>
      </c>
      <c r="AL14" s="0" t="s">
        <v>468</v>
      </c>
      <c r="AM14" s="0" t="s">
        <v>474</v>
      </c>
      <c r="AN14" s="0" t="s">
        <v>469</v>
      </c>
      <c r="AO14" s="0" t="n">
        <v>3.737405</v>
      </c>
      <c r="AP14" s="0" t="n">
        <v>0</v>
      </c>
      <c r="AQ14" s="0" t="n">
        <v>0</v>
      </c>
      <c r="AS14" s="2" t="str">
        <f aca="false">IF(AND(G14="true",J14="true",M14="true",P14="true",S14="true"),"true","false")</f>
        <v>false</v>
      </c>
      <c r="AT14" s="0" t="str">
        <f aca="false">IF(AND(Y14="true",AB14="true",AE14="true",AH14="true",AK14="true"),"true","false")</f>
        <v>true</v>
      </c>
    </row>
    <row r="15" customFormat="false" ht="12.8" hidden="false" customHeight="false" outlineLevel="0" collapsed="false">
      <c r="A15" s="0" t="s">
        <v>514</v>
      </c>
      <c r="B15" s="0" t="s">
        <v>1</v>
      </c>
      <c r="C15" s="0" t="s">
        <v>468</v>
      </c>
      <c r="D15" s="0" t="s">
        <v>469</v>
      </c>
      <c r="E15" s="0" t="n">
        <v>61.19463</v>
      </c>
      <c r="F15" s="0" t="s">
        <v>515</v>
      </c>
      <c r="G15" s="1" t="s">
        <v>6</v>
      </c>
      <c r="H15" s="0" t="n">
        <v>44.722153</v>
      </c>
      <c r="I15" s="0" t="s">
        <v>494</v>
      </c>
      <c r="J15" s="1" t="s">
        <v>6</v>
      </c>
      <c r="K15" s="0" t="n">
        <v>9.430587</v>
      </c>
      <c r="L15" s="0" t="s">
        <v>516</v>
      </c>
      <c r="M15" s="1" t="s">
        <v>6</v>
      </c>
      <c r="N15" s="0" t="n">
        <v>18.949502</v>
      </c>
      <c r="O15" s="0" t="s">
        <v>473</v>
      </c>
      <c r="P15" s="1" t="s">
        <v>5</v>
      </c>
      <c r="Q15" s="0" t="n">
        <v>32.103265</v>
      </c>
      <c r="R15" s="0" t="s">
        <v>9</v>
      </c>
      <c r="S15" s="1" t="s">
        <v>6</v>
      </c>
      <c r="T15" s="0" t="s">
        <v>10</v>
      </c>
      <c r="U15" s="0" t="s">
        <v>474</v>
      </c>
      <c r="V15" s="0" t="s">
        <v>469</v>
      </c>
      <c r="W15" s="0" t="n">
        <v>52.820607</v>
      </c>
      <c r="X15" s="0" t="s">
        <v>480</v>
      </c>
      <c r="Y15" s="1" t="s">
        <v>5</v>
      </c>
      <c r="Z15" s="0" t="n">
        <v>36.79921</v>
      </c>
      <c r="AA15" s="0" t="s">
        <v>476</v>
      </c>
      <c r="AB15" s="1" t="s">
        <v>5</v>
      </c>
      <c r="AC15" s="0" t="n">
        <v>22.701271</v>
      </c>
      <c r="AD15" s="0" t="s">
        <v>477</v>
      </c>
      <c r="AE15" s="1" t="s">
        <v>5</v>
      </c>
      <c r="AF15" s="0" t="n">
        <v>76.156575</v>
      </c>
      <c r="AG15" s="0" t="s">
        <v>478</v>
      </c>
      <c r="AH15" s="1" t="s">
        <v>5</v>
      </c>
      <c r="AI15" s="0" t="n">
        <v>14.348482</v>
      </c>
      <c r="AJ15" s="0" t="s">
        <v>9</v>
      </c>
      <c r="AK15" s="1" t="s">
        <v>5</v>
      </c>
      <c r="AL15" s="0" t="s">
        <v>468</v>
      </c>
      <c r="AM15" s="0" t="s">
        <v>474</v>
      </c>
      <c r="AN15" s="0" t="s">
        <v>469</v>
      </c>
      <c r="AO15" s="0" t="n">
        <v>39.595555</v>
      </c>
      <c r="AP15" s="0" t="n">
        <v>1</v>
      </c>
      <c r="AQ15" s="0" t="n">
        <v>1</v>
      </c>
      <c r="AR15" s="0" t="s">
        <v>517</v>
      </c>
      <c r="AS15" s="2" t="str">
        <f aca="false">IF(AND(G15="true",J15="true",M15="true",P15="true",S15="true"),"true","false")</f>
        <v>false</v>
      </c>
      <c r="AT15" s="0" t="str">
        <f aca="false">IF(AND(Y15="true",AB15="true",AE15="true",AH15="true",AK15="true"),"true","false")</f>
        <v>true</v>
      </c>
    </row>
    <row r="16" customFormat="false" ht="12.8" hidden="false" customHeight="false" outlineLevel="0" collapsed="false">
      <c r="A16" s="0" t="s">
        <v>518</v>
      </c>
      <c r="B16" s="0" t="s">
        <v>1</v>
      </c>
      <c r="C16" s="0" t="s">
        <v>468</v>
      </c>
      <c r="D16" s="0" t="s">
        <v>469</v>
      </c>
      <c r="E16" s="0" t="n">
        <v>48.175573</v>
      </c>
      <c r="F16" s="0" t="s">
        <v>470</v>
      </c>
      <c r="G16" s="1" t="s">
        <v>5</v>
      </c>
      <c r="H16" s="0" t="n">
        <v>39.945633</v>
      </c>
      <c r="I16" s="0" t="s">
        <v>471</v>
      </c>
      <c r="J16" s="1" t="s">
        <v>5</v>
      </c>
      <c r="K16" s="0" t="n">
        <v>24.629287</v>
      </c>
      <c r="L16" s="0" t="s">
        <v>486</v>
      </c>
      <c r="M16" s="1" t="s">
        <v>5</v>
      </c>
      <c r="N16" s="0" t="n">
        <v>14.831554</v>
      </c>
      <c r="O16" s="0" t="s">
        <v>473</v>
      </c>
      <c r="P16" s="1" t="s">
        <v>5</v>
      </c>
      <c r="Q16" s="0" t="n">
        <v>9.28999</v>
      </c>
      <c r="R16" s="0" t="s">
        <v>15</v>
      </c>
      <c r="S16" s="1" t="s">
        <v>6</v>
      </c>
      <c r="T16" s="0" t="s">
        <v>10</v>
      </c>
      <c r="U16" s="0" t="s">
        <v>474</v>
      </c>
      <c r="V16" s="0" t="s">
        <v>469</v>
      </c>
      <c r="W16" s="0" t="n">
        <v>48.527865</v>
      </c>
      <c r="X16" s="0" t="s">
        <v>480</v>
      </c>
      <c r="Y16" s="1" t="s">
        <v>5</v>
      </c>
      <c r="Z16" s="0" t="n">
        <v>26.562173</v>
      </c>
      <c r="AA16" s="0" t="s">
        <v>477</v>
      </c>
      <c r="AB16" s="1" t="s">
        <v>6</v>
      </c>
      <c r="AC16" s="0" t="n">
        <v>13.743348</v>
      </c>
      <c r="AD16" s="0" t="s">
        <v>476</v>
      </c>
      <c r="AE16" s="1" t="s">
        <v>6</v>
      </c>
      <c r="AF16" s="0" t="n">
        <v>52.253156</v>
      </c>
      <c r="AG16" s="0" t="s">
        <v>478</v>
      </c>
      <c r="AH16" s="1" t="s">
        <v>5</v>
      </c>
      <c r="AI16" s="0" t="n">
        <v>6.456484</v>
      </c>
      <c r="AJ16" s="0" t="s">
        <v>15</v>
      </c>
      <c r="AK16" s="1" t="s">
        <v>6</v>
      </c>
      <c r="AL16" s="0" t="s">
        <v>468</v>
      </c>
      <c r="AM16" s="0" t="s">
        <v>474</v>
      </c>
      <c r="AN16" s="0" t="s">
        <v>469</v>
      </c>
      <c r="AO16" s="0" t="n">
        <v>6.210447</v>
      </c>
      <c r="AP16" s="0" t="n">
        <v>-2</v>
      </c>
      <c r="AQ16" s="0" t="n">
        <v>1</v>
      </c>
      <c r="AS16" s="2" t="str">
        <f aca="false">IF(AND(G16="true",J16="true",M16="true",P16="true",S16="true"),"true","false")</f>
        <v>false</v>
      </c>
      <c r="AT16" s="0" t="str">
        <f aca="false">IF(AND(Y16="true",AB16="true",AE16="true",AH16="true",AK16="true"),"true","false")</f>
        <v>false</v>
      </c>
    </row>
    <row r="17" customFormat="false" ht="12.8" hidden="false" customHeight="false" outlineLevel="0" collapsed="false">
      <c r="A17" s="0" t="s">
        <v>519</v>
      </c>
      <c r="B17" s="0" t="s">
        <v>1</v>
      </c>
      <c r="C17" s="0" t="s">
        <v>474</v>
      </c>
      <c r="D17" s="0" t="s">
        <v>469</v>
      </c>
      <c r="E17" s="0" t="n">
        <v>117.896142</v>
      </c>
      <c r="F17" s="0" t="s">
        <v>480</v>
      </c>
      <c r="G17" s="1" t="s">
        <v>5</v>
      </c>
      <c r="H17" s="0" t="n">
        <v>36.046763</v>
      </c>
      <c r="I17" s="0" t="s">
        <v>476</v>
      </c>
      <c r="J17" s="1" t="s">
        <v>5</v>
      </c>
      <c r="K17" s="0" t="n">
        <v>23.135312</v>
      </c>
      <c r="L17" s="0" t="s">
        <v>520</v>
      </c>
      <c r="M17" s="1" t="s">
        <v>6</v>
      </c>
      <c r="N17" s="0" t="n">
        <v>62.066752</v>
      </c>
      <c r="O17" s="0" t="s">
        <v>521</v>
      </c>
      <c r="P17" s="1" t="s">
        <v>6</v>
      </c>
      <c r="Q17" s="0" t="n">
        <v>32.364645</v>
      </c>
      <c r="R17" s="0" t="s">
        <v>9</v>
      </c>
      <c r="S17" s="1" t="s">
        <v>6</v>
      </c>
      <c r="T17" s="0" t="s">
        <v>10</v>
      </c>
      <c r="U17" s="0" t="s">
        <v>468</v>
      </c>
      <c r="V17" s="0" t="s">
        <v>469</v>
      </c>
      <c r="W17" s="0" t="n">
        <v>46.20241</v>
      </c>
      <c r="X17" s="0" t="s">
        <v>470</v>
      </c>
      <c r="Y17" s="1" t="s">
        <v>5</v>
      </c>
      <c r="Z17" s="0" t="n">
        <v>44.056698</v>
      </c>
      <c r="AA17" s="0" t="s">
        <v>471</v>
      </c>
      <c r="AB17" s="1" t="s">
        <v>5</v>
      </c>
      <c r="AC17" s="0" t="n">
        <v>32.394974</v>
      </c>
      <c r="AD17" s="0" t="s">
        <v>486</v>
      </c>
      <c r="AE17" s="1" t="s">
        <v>5</v>
      </c>
      <c r="AF17" s="0" t="n">
        <v>39.863266</v>
      </c>
      <c r="AG17" s="0" t="s">
        <v>473</v>
      </c>
      <c r="AH17" s="1" t="s">
        <v>5</v>
      </c>
      <c r="AI17" s="0" t="n">
        <v>49.788808</v>
      </c>
      <c r="AJ17" s="0" t="s">
        <v>9</v>
      </c>
      <c r="AK17" s="1" t="s">
        <v>5</v>
      </c>
      <c r="AL17" s="0" t="s">
        <v>474</v>
      </c>
      <c r="AM17" s="0" t="s">
        <v>468</v>
      </c>
      <c r="AN17" s="0" t="s">
        <v>469</v>
      </c>
      <c r="AO17" s="0" t="n">
        <v>5.065191</v>
      </c>
      <c r="AP17" s="0" t="n">
        <v>0</v>
      </c>
      <c r="AQ17" s="0" t="n">
        <v>1</v>
      </c>
      <c r="AS17" s="2" t="str">
        <f aca="false">IF(AND(G17="true",J17="true",M17="true",P17="true",S17="true"),"true","false")</f>
        <v>false</v>
      </c>
      <c r="AT17" s="0" t="str">
        <f aca="false">IF(AND(Y17="true",AB17="true",AE17="true",AH17="true",AK17="true"),"true","false")</f>
        <v>true</v>
      </c>
    </row>
    <row r="18" customFormat="false" ht="12.8" hidden="false" customHeight="false" outlineLevel="0" collapsed="false">
      <c r="A18" s="0" t="s">
        <v>522</v>
      </c>
      <c r="B18" s="0" t="s">
        <v>1</v>
      </c>
      <c r="C18" s="0" t="s">
        <v>468</v>
      </c>
      <c r="D18" s="0" t="s">
        <v>469</v>
      </c>
      <c r="E18" s="0" t="n">
        <v>57.370961</v>
      </c>
      <c r="F18" s="0" t="s">
        <v>494</v>
      </c>
      <c r="G18" s="1" t="s">
        <v>6</v>
      </c>
      <c r="H18" s="0" t="n">
        <v>30.977072</v>
      </c>
      <c r="I18" s="0" t="s">
        <v>494</v>
      </c>
      <c r="J18" s="1" t="s">
        <v>6</v>
      </c>
      <c r="K18" s="0" t="n">
        <v>7.899596</v>
      </c>
      <c r="L18" s="0" t="s">
        <v>516</v>
      </c>
      <c r="M18" s="1" t="s">
        <v>6</v>
      </c>
      <c r="N18" s="0" t="n">
        <v>18.471427</v>
      </c>
      <c r="O18" s="0" t="s">
        <v>473</v>
      </c>
      <c r="P18" s="1" t="s">
        <v>5</v>
      </c>
      <c r="Q18" s="0" t="n">
        <v>10.819584</v>
      </c>
      <c r="R18" s="0" t="s">
        <v>15</v>
      </c>
      <c r="S18" s="1" t="s">
        <v>6</v>
      </c>
      <c r="T18" s="0" t="s">
        <v>10</v>
      </c>
      <c r="U18" s="0" t="s">
        <v>474</v>
      </c>
      <c r="V18" s="0" t="s">
        <v>469</v>
      </c>
      <c r="W18" s="0" t="n">
        <v>70.522257</v>
      </c>
      <c r="X18" s="0" t="s">
        <v>480</v>
      </c>
      <c r="Y18" s="1" t="s">
        <v>5</v>
      </c>
      <c r="Z18" s="0" t="n">
        <v>21.764373</v>
      </c>
      <c r="AA18" s="0" t="s">
        <v>476</v>
      </c>
      <c r="AB18" s="1" t="s">
        <v>5</v>
      </c>
      <c r="AC18" s="0" t="n">
        <v>7.223384</v>
      </c>
      <c r="AD18" s="0" t="s">
        <v>502</v>
      </c>
      <c r="AE18" s="1" t="s">
        <v>6</v>
      </c>
      <c r="AF18" s="0" t="n">
        <v>49.231892</v>
      </c>
      <c r="AG18" s="0" t="s">
        <v>478</v>
      </c>
      <c r="AH18" s="1" t="s">
        <v>5</v>
      </c>
      <c r="AI18" s="0" t="n">
        <v>11.819124</v>
      </c>
      <c r="AJ18" s="0" t="s">
        <v>15</v>
      </c>
      <c r="AK18" s="1" t="s">
        <v>6</v>
      </c>
      <c r="AL18" s="0" t="s">
        <v>468</v>
      </c>
      <c r="AM18" s="0" t="s">
        <v>474</v>
      </c>
      <c r="AN18" s="0" t="s">
        <v>469</v>
      </c>
      <c r="AO18" s="0" t="n">
        <v>6.921167</v>
      </c>
      <c r="AP18" s="0" t="n">
        <v>-1</v>
      </c>
      <c r="AQ18" s="0" t="n">
        <v>2</v>
      </c>
      <c r="AS18" s="2" t="str">
        <f aca="false">IF(AND(G18="true",J18="true",M18="true",P18="true",S18="true"),"true","false")</f>
        <v>false</v>
      </c>
      <c r="AT18" s="0" t="str">
        <f aca="false">IF(AND(Y18="true",AB18="true",AE18="true",AH18="true",AK18="true"),"true","false")</f>
        <v>false</v>
      </c>
    </row>
    <row r="19" customFormat="false" ht="12.8" hidden="false" customHeight="false" outlineLevel="0" collapsed="false">
      <c r="A19" s="0" t="s">
        <v>523</v>
      </c>
      <c r="B19" s="0" t="s">
        <v>1</v>
      </c>
      <c r="C19" s="0" t="s">
        <v>474</v>
      </c>
      <c r="D19" s="0" t="s">
        <v>469</v>
      </c>
      <c r="E19" s="0" t="n">
        <v>75.290409</v>
      </c>
      <c r="F19" s="0" t="s">
        <v>524</v>
      </c>
      <c r="G19" s="1" t="s">
        <v>6</v>
      </c>
      <c r="H19" s="0" t="n">
        <v>55.477398</v>
      </c>
      <c r="I19" s="0" t="s">
        <v>476</v>
      </c>
      <c r="J19" s="1" t="s">
        <v>5</v>
      </c>
      <c r="K19" s="0" t="n">
        <v>27.033604</v>
      </c>
      <c r="L19" s="0" t="s">
        <v>477</v>
      </c>
      <c r="M19" s="1" t="s">
        <v>5</v>
      </c>
      <c r="N19" s="0" t="n">
        <v>112.571308</v>
      </c>
      <c r="O19" s="0" t="s">
        <v>525</v>
      </c>
      <c r="P19" s="1" t="s">
        <v>6</v>
      </c>
      <c r="Q19" s="0" t="n">
        <v>10.142667</v>
      </c>
      <c r="R19" s="0" t="s">
        <v>15</v>
      </c>
      <c r="S19" s="1" t="s">
        <v>6</v>
      </c>
      <c r="T19" s="0" t="s">
        <v>10</v>
      </c>
      <c r="U19" s="0" t="s">
        <v>468</v>
      </c>
      <c r="V19" s="0" t="s">
        <v>469</v>
      </c>
      <c r="W19" s="0" t="n">
        <v>16.431878</v>
      </c>
      <c r="X19" s="0" t="s">
        <v>526</v>
      </c>
      <c r="Y19" s="1" t="s">
        <v>6</v>
      </c>
      <c r="Z19" s="0" t="n">
        <v>14.592325</v>
      </c>
      <c r="AA19" s="0" t="s">
        <v>527</v>
      </c>
      <c r="AB19" s="1" t="s">
        <v>6</v>
      </c>
      <c r="AC19" s="0" t="n">
        <v>15.215854</v>
      </c>
      <c r="AD19" s="0" t="s">
        <v>528</v>
      </c>
      <c r="AE19" s="1" t="s">
        <v>6</v>
      </c>
      <c r="AF19" s="0" t="n">
        <v>11.501951</v>
      </c>
      <c r="AG19" s="0" t="s">
        <v>529</v>
      </c>
      <c r="AH19" s="1" t="s">
        <v>6</v>
      </c>
      <c r="AI19" s="0" t="n">
        <v>7.223157</v>
      </c>
      <c r="AJ19" s="0" t="s">
        <v>15</v>
      </c>
      <c r="AK19" s="1" t="s">
        <v>6</v>
      </c>
      <c r="AL19" s="0" t="s">
        <v>474</v>
      </c>
      <c r="AM19" s="0" t="s">
        <v>468</v>
      </c>
      <c r="AN19" s="0" t="s">
        <v>469</v>
      </c>
      <c r="AO19" s="0" t="n">
        <v>6.023707</v>
      </c>
      <c r="AP19" s="0" t="n">
        <v>0</v>
      </c>
      <c r="AQ19" s="0" t="n">
        <v>0</v>
      </c>
      <c r="AS19" s="2" t="str">
        <f aca="false">IF(AND(G19="true",J19="true",M19="true",P19="true",S19="true"),"true","false")</f>
        <v>false</v>
      </c>
      <c r="AT19" s="0" t="str">
        <f aca="false">IF(AND(Y19="true",AB19="true",AE19="true",AH19="true",AK19="true"),"true","false")</f>
        <v>false</v>
      </c>
    </row>
    <row r="20" customFormat="false" ht="12.8" hidden="false" customHeight="false" outlineLevel="0" collapsed="false">
      <c r="A20" s="0" t="s">
        <v>530</v>
      </c>
      <c r="B20" s="0" t="s">
        <v>1</v>
      </c>
      <c r="C20" s="0" t="s">
        <v>468</v>
      </c>
      <c r="D20" s="0" t="s">
        <v>469</v>
      </c>
      <c r="E20" s="0" t="n">
        <v>69.198909</v>
      </c>
      <c r="F20" s="0" t="s">
        <v>494</v>
      </c>
      <c r="G20" s="1" t="s">
        <v>6</v>
      </c>
      <c r="H20" s="0" t="n">
        <v>46.984786</v>
      </c>
      <c r="I20" s="0" t="s">
        <v>494</v>
      </c>
      <c r="J20" s="1" t="s">
        <v>6</v>
      </c>
      <c r="K20" s="0" t="n">
        <v>9.382551</v>
      </c>
      <c r="L20" s="0" t="s">
        <v>516</v>
      </c>
      <c r="M20" s="1" t="s">
        <v>6</v>
      </c>
      <c r="N20" s="0" t="n">
        <v>17.536959</v>
      </c>
      <c r="O20" s="0" t="s">
        <v>473</v>
      </c>
      <c r="P20" s="1" t="s">
        <v>5</v>
      </c>
      <c r="Q20" s="0" t="n">
        <v>17.790521</v>
      </c>
      <c r="R20" s="0" t="s">
        <v>51</v>
      </c>
      <c r="S20" s="1" t="s">
        <v>5</v>
      </c>
      <c r="T20" s="0" t="s">
        <v>10</v>
      </c>
      <c r="U20" s="0" t="s">
        <v>474</v>
      </c>
      <c r="V20" s="0" t="s">
        <v>469</v>
      </c>
      <c r="W20" s="0" t="n">
        <v>41.926885</v>
      </c>
      <c r="X20" s="0" t="s">
        <v>480</v>
      </c>
      <c r="Y20" s="1" t="s">
        <v>5</v>
      </c>
      <c r="Z20" s="0" t="n">
        <v>25.451954</v>
      </c>
      <c r="AA20" s="0" t="s">
        <v>477</v>
      </c>
      <c r="AB20" s="1" t="s">
        <v>6</v>
      </c>
      <c r="AC20" s="0" t="n">
        <v>15.041375</v>
      </c>
      <c r="AD20" s="0" t="s">
        <v>476</v>
      </c>
      <c r="AE20" s="1" t="s">
        <v>6</v>
      </c>
      <c r="AF20" s="0" t="n">
        <v>62.986013</v>
      </c>
      <c r="AG20" s="0" t="s">
        <v>531</v>
      </c>
      <c r="AH20" s="1" t="s">
        <v>6</v>
      </c>
      <c r="AI20" s="0" t="n">
        <v>30.407543</v>
      </c>
      <c r="AJ20" s="0" t="s">
        <v>51</v>
      </c>
      <c r="AK20" s="1" t="s">
        <v>6</v>
      </c>
      <c r="AL20" s="0" t="s">
        <v>468</v>
      </c>
      <c r="AM20" s="0" t="s">
        <v>474</v>
      </c>
      <c r="AN20" s="0" t="s">
        <v>469</v>
      </c>
      <c r="AO20" s="0" t="n">
        <v>5.934747</v>
      </c>
      <c r="AP20" s="0" t="n">
        <v>0</v>
      </c>
      <c r="AQ20" s="0" t="n">
        <v>1</v>
      </c>
      <c r="AS20" s="2" t="str">
        <f aca="false">IF(AND(G20="true",J20="true",M20="true",P20="true",S20="true"),"true","false")</f>
        <v>false</v>
      </c>
      <c r="AT20" s="0" t="str">
        <f aca="false">IF(AND(Y20="true",AB20="true",AE20="true",AH20="true",AK20="true"),"true","false")</f>
        <v>false</v>
      </c>
    </row>
    <row r="21" customFormat="false" ht="24.05" hidden="false" customHeight="false" outlineLevel="0" collapsed="false">
      <c r="A21" s="0" t="s">
        <v>532</v>
      </c>
      <c r="B21" s="0" t="s">
        <v>1</v>
      </c>
      <c r="C21" s="0" t="s">
        <v>474</v>
      </c>
      <c r="D21" s="0" t="s">
        <v>469</v>
      </c>
      <c r="E21" s="0" t="n">
        <v>39.030644</v>
      </c>
      <c r="F21" s="0" t="s">
        <v>476</v>
      </c>
      <c r="G21" s="1" t="s">
        <v>6</v>
      </c>
      <c r="H21" s="0" t="n">
        <v>36.218946</v>
      </c>
      <c r="I21" s="0" t="s">
        <v>476</v>
      </c>
      <c r="J21" s="1" t="s">
        <v>5</v>
      </c>
      <c r="K21" s="0" t="n">
        <v>20.19859</v>
      </c>
      <c r="L21" s="0" t="s">
        <v>477</v>
      </c>
      <c r="M21" s="1" t="s">
        <v>5</v>
      </c>
      <c r="N21" s="0" t="n">
        <v>75.415489</v>
      </c>
      <c r="O21" s="0" t="s">
        <v>525</v>
      </c>
      <c r="P21" s="1" t="s">
        <v>6</v>
      </c>
      <c r="Q21" s="0" t="n">
        <v>13.882058</v>
      </c>
      <c r="R21" s="0" t="s">
        <v>51</v>
      </c>
      <c r="S21" s="1" t="s">
        <v>5</v>
      </c>
      <c r="T21" s="0" t="s">
        <v>10</v>
      </c>
      <c r="U21" s="0" t="s">
        <v>468</v>
      </c>
      <c r="V21" s="0" t="s">
        <v>469</v>
      </c>
      <c r="W21" s="0" t="n">
        <v>53.635109</v>
      </c>
      <c r="X21" s="0" t="s">
        <v>470</v>
      </c>
      <c r="Y21" s="1" t="s">
        <v>5</v>
      </c>
      <c r="Z21" s="0" t="n">
        <v>17.575361</v>
      </c>
      <c r="AA21" s="0" t="s">
        <v>486</v>
      </c>
      <c r="AB21" s="1" t="s">
        <v>6</v>
      </c>
      <c r="AC21" s="0" t="n">
        <v>36.475157</v>
      </c>
      <c r="AD21" s="0" t="s">
        <v>471</v>
      </c>
      <c r="AE21" s="1" t="s">
        <v>6</v>
      </c>
      <c r="AF21" s="0" t="n">
        <v>19.685845</v>
      </c>
      <c r="AG21" s="0" t="s">
        <v>473</v>
      </c>
      <c r="AH21" s="1" t="s">
        <v>5</v>
      </c>
      <c r="AI21" s="0" t="n">
        <v>13.430222</v>
      </c>
      <c r="AJ21" s="0" t="s">
        <v>9</v>
      </c>
      <c r="AK21" s="1" t="s">
        <v>5</v>
      </c>
      <c r="AL21" s="0" t="s">
        <v>474</v>
      </c>
      <c r="AM21" s="0" t="s">
        <v>468</v>
      </c>
      <c r="AN21" s="0" t="s">
        <v>469</v>
      </c>
      <c r="AO21" s="0" t="n">
        <v>146.596675</v>
      </c>
      <c r="AP21" s="0" t="n">
        <v>-2</v>
      </c>
      <c r="AQ21" s="0" t="n">
        <v>0</v>
      </c>
      <c r="AR21" s="3" t="s">
        <v>533</v>
      </c>
      <c r="AS21" s="2" t="str">
        <f aca="false">IF(AND(G21="true",J21="true",M21="true",P21="true",S21="true"),"true","false")</f>
        <v>false</v>
      </c>
      <c r="AT21" s="0" t="str">
        <f aca="false">IF(AND(Y21="true",AB21="true",AE21="true",AH21="true",AK21="true"),"true","false")</f>
        <v>false</v>
      </c>
    </row>
    <row r="22" customFormat="false" ht="12.8" hidden="false" customHeight="false" outlineLevel="0" collapsed="false">
      <c r="A22" s="0" t="s">
        <v>534</v>
      </c>
      <c r="B22" s="0" t="s">
        <v>1</v>
      </c>
      <c r="C22" s="0" t="s">
        <v>474</v>
      </c>
      <c r="D22" s="0" t="s">
        <v>469</v>
      </c>
      <c r="E22" s="0" t="n">
        <v>55.197524</v>
      </c>
      <c r="F22" s="0" t="s">
        <v>477</v>
      </c>
      <c r="G22" s="1" t="s">
        <v>6</v>
      </c>
      <c r="H22" s="0" t="n">
        <v>55.845129</v>
      </c>
      <c r="I22" s="0" t="s">
        <v>481</v>
      </c>
      <c r="J22" s="1" t="s">
        <v>6</v>
      </c>
      <c r="K22" s="0" t="n">
        <v>39.557814</v>
      </c>
      <c r="L22" s="0" t="s">
        <v>477</v>
      </c>
      <c r="M22" s="1" t="s">
        <v>5</v>
      </c>
      <c r="N22" s="0" t="n">
        <v>96.537346</v>
      </c>
      <c r="O22" s="0" t="s">
        <v>535</v>
      </c>
      <c r="P22" s="1" t="s">
        <v>6</v>
      </c>
      <c r="Q22" s="0" t="n">
        <v>13.479777</v>
      </c>
      <c r="R22" s="0" t="s">
        <v>15</v>
      </c>
      <c r="S22" s="1" t="s">
        <v>6</v>
      </c>
      <c r="T22" s="0" t="s">
        <v>10</v>
      </c>
      <c r="U22" s="0" t="s">
        <v>468</v>
      </c>
      <c r="V22" s="0" t="s">
        <v>469</v>
      </c>
      <c r="W22" s="0" t="n">
        <v>55.789001</v>
      </c>
      <c r="X22" s="0" t="s">
        <v>536</v>
      </c>
      <c r="Y22" s="1" t="s">
        <v>6</v>
      </c>
      <c r="Z22" s="0" t="n">
        <v>47.134403</v>
      </c>
      <c r="AA22" s="0" t="s">
        <v>485</v>
      </c>
      <c r="AB22" s="1" t="s">
        <v>6</v>
      </c>
      <c r="AC22" s="0" t="n">
        <v>23.34656</v>
      </c>
      <c r="AD22" s="0" t="s">
        <v>537</v>
      </c>
      <c r="AE22" s="1" t="s">
        <v>6</v>
      </c>
      <c r="AF22" s="0" t="n">
        <v>43.26074</v>
      </c>
      <c r="AG22" s="0" t="s">
        <v>538</v>
      </c>
      <c r="AH22" s="1" t="s">
        <v>6</v>
      </c>
      <c r="AI22" s="0" t="n">
        <v>17.804659</v>
      </c>
      <c r="AJ22" s="0" t="s">
        <v>15</v>
      </c>
      <c r="AK22" s="1" t="s">
        <v>6</v>
      </c>
      <c r="AL22" s="0" t="s">
        <v>474</v>
      </c>
      <c r="AM22" s="0" t="s">
        <v>468</v>
      </c>
      <c r="AN22" s="0" t="s">
        <v>469</v>
      </c>
      <c r="AO22" s="0" t="n">
        <v>5.024782</v>
      </c>
      <c r="AP22" s="0" t="n">
        <v>0</v>
      </c>
      <c r="AQ22" s="0" t="n">
        <v>0</v>
      </c>
      <c r="AS22" s="2" t="str">
        <f aca="false">IF(AND(G22="true",J22="true",M22="true",P22="true",S22="true"),"true","false")</f>
        <v>false</v>
      </c>
      <c r="AT22" s="0" t="str">
        <f aca="false">IF(AND(Y22="true",AB22="true",AE22="true",AH22="true",AK22="true"),"true","false")</f>
        <v>false</v>
      </c>
    </row>
    <row r="23" customFormat="false" ht="12.8" hidden="false" customHeight="false" outlineLevel="0" collapsed="false">
      <c r="A23" s="0" t="s">
        <v>539</v>
      </c>
      <c r="B23" s="0" t="s">
        <v>1</v>
      </c>
      <c r="C23" s="0" t="s">
        <v>474</v>
      </c>
      <c r="D23" s="0" t="s">
        <v>469</v>
      </c>
      <c r="E23" s="0" t="n">
        <v>45.849481</v>
      </c>
      <c r="F23" s="0" t="s">
        <v>480</v>
      </c>
      <c r="G23" s="1" t="s">
        <v>5</v>
      </c>
      <c r="H23" s="0" t="n">
        <v>44.978527</v>
      </c>
      <c r="I23" s="0" t="s">
        <v>476</v>
      </c>
      <c r="J23" s="1" t="s">
        <v>5</v>
      </c>
      <c r="K23" s="0" t="n">
        <v>7.364177</v>
      </c>
      <c r="L23" s="0" t="s">
        <v>502</v>
      </c>
      <c r="M23" s="1" t="s">
        <v>6</v>
      </c>
      <c r="N23" s="0" t="n">
        <v>40.96584</v>
      </c>
      <c r="O23" s="0" t="s">
        <v>540</v>
      </c>
      <c r="P23" s="1" t="s">
        <v>6</v>
      </c>
      <c r="Q23" s="0" t="n">
        <v>8.030854</v>
      </c>
      <c r="R23" s="0" t="s">
        <v>15</v>
      </c>
      <c r="S23" s="1" t="s">
        <v>6</v>
      </c>
      <c r="T23" s="0" t="s">
        <v>10</v>
      </c>
      <c r="U23" s="0" t="s">
        <v>468</v>
      </c>
      <c r="V23" s="0" t="s">
        <v>469</v>
      </c>
      <c r="W23" s="0" t="n">
        <v>45.399635</v>
      </c>
      <c r="X23" s="0" t="s">
        <v>470</v>
      </c>
      <c r="Y23" s="1" t="s">
        <v>5</v>
      </c>
      <c r="Z23" s="0" t="n">
        <v>32.678531</v>
      </c>
      <c r="AA23" s="0" t="s">
        <v>485</v>
      </c>
      <c r="AB23" s="1" t="s">
        <v>6</v>
      </c>
      <c r="AC23" s="0" t="n">
        <v>9.3416</v>
      </c>
      <c r="AD23" s="0" t="s">
        <v>537</v>
      </c>
      <c r="AE23" s="1" t="s">
        <v>6</v>
      </c>
      <c r="AF23" s="0" t="n">
        <v>31.209331</v>
      </c>
      <c r="AG23" s="0" t="s">
        <v>473</v>
      </c>
      <c r="AH23" s="1" t="s">
        <v>5</v>
      </c>
      <c r="AI23" s="0" t="n">
        <v>3.946889</v>
      </c>
      <c r="AJ23" s="0" t="s">
        <v>51</v>
      </c>
      <c r="AK23" s="1" t="s">
        <v>6</v>
      </c>
      <c r="AL23" s="0" t="s">
        <v>474</v>
      </c>
      <c r="AM23" s="0" t="s">
        <v>468</v>
      </c>
      <c r="AN23" s="0" t="s">
        <v>469</v>
      </c>
      <c r="AO23" s="0" t="n">
        <v>9.839514</v>
      </c>
      <c r="AP23" s="0" t="n">
        <v>2</v>
      </c>
      <c r="AQ23" s="0" t="n">
        <v>1</v>
      </c>
      <c r="AS23" s="2" t="str">
        <f aca="false">IF(AND(G23="true",J23="true",M23="true",P23="true",S23="true"),"true","false")</f>
        <v>false</v>
      </c>
      <c r="AT23" s="0" t="str">
        <f aca="false">IF(AND(Y23="true",AB23="true",AE23="true",AH23="true",AK23="true"),"true","false")</f>
        <v>false</v>
      </c>
    </row>
    <row r="24" customFormat="false" ht="12.8" hidden="false" customHeight="false" outlineLevel="0" collapsed="false">
      <c r="A24" s="0" t="s">
        <v>541</v>
      </c>
      <c r="B24" s="0" t="s">
        <v>1</v>
      </c>
      <c r="C24" s="0" t="s">
        <v>474</v>
      </c>
      <c r="D24" s="0" t="s">
        <v>469</v>
      </c>
      <c r="E24" s="0" t="n">
        <v>63.057343</v>
      </c>
      <c r="F24" s="0" t="s">
        <v>480</v>
      </c>
      <c r="G24" s="1" t="s">
        <v>5</v>
      </c>
      <c r="H24" s="0" t="n">
        <v>36.056046</v>
      </c>
      <c r="I24" s="0" t="s">
        <v>476</v>
      </c>
      <c r="J24" s="1" t="s">
        <v>5</v>
      </c>
      <c r="K24" s="0" t="n">
        <v>18.225357</v>
      </c>
      <c r="L24" s="0" t="s">
        <v>477</v>
      </c>
      <c r="M24" s="1" t="s">
        <v>5</v>
      </c>
      <c r="N24" s="0" t="n">
        <v>79.334526</v>
      </c>
      <c r="O24" s="0" t="s">
        <v>542</v>
      </c>
      <c r="P24" s="1" t="s">
        <v>6</v>
      </c>
      <c r="Q24" s="0" t="n">
        <v>3.935849</v>
      </c>
      <c r="R24" s="0" t="s">
        <v>15</v>
      </c>
      <c r="S24" s="1" t="s">
        <v>6</v>
      </c>
      <c r="T24" s="0" t="s">
        <v>10</v>
      </c>
      <c r="U24" s="0" t="s">
        <v>468</v>
      </c>
      <c r="V24" s="0" t="s">
        <v>469</v>
      </c>
      <c r="W24" s="0" t="n">
        <v>81.136431</v>
      </c>
      <c r="X24" s="0" t="s">
        <v>470</v>
      </c>
      <c r="Y24" s="1" t="s">
        <v>5</v>
      </c>
      <c r="Z24" s="0" t="n">
        <v>32.571381</v>
      </c>
      <c r="AA24" s="0" t="s">
        <v>486</v>
      </c>
      <c r="AB24" s="1" t="s">
        <v>6</v>
      </c>
      <c r="AC24" s="0" t="n">
        <v>26.084985</v>
      </c>
      <c r="AD24" s="0" t="s">
        <v>543</v>
      </c>
      <c r="AE24" s="1" t="s">
        <v>6</v>
      </c>
      <c r="AF24" s="0" t="n">
        <v>20.968432</v>
      </c>
      <c r="AG24" s="0" t="s">
        <v>473</v>
      </c>
      <c r="AH24" s="1" t="s">
        <v>5</v>
      </c>
      <c r="AI24" s="0" t="n">
        <v>5.378202</v>
      </c>
      <c r="AJ24" s="0" t="s">
        <v>9</v>
      </c>
      <c r="AK24" s="1" t="s">
        <v>5</v>
      </c>
      <c r="AL24" s="0" t="s">
        <v>474</v>
      </c>
      <c r="AM24" s="0" t="s">
        <v>468</v>
      </c>
      <c r="AN24" s="0" t="s">
        <v>469</v>
      </c>
      <c r="AO24" s="0" t="n">
        <v>6.915788</v>
      </c>
      <c r="AP24" s="0" t="n">
        <v>-2</v>
      </c>
      <c r="AQ24" s="0" t="n">
        <v>-1</v>
      </c>
      <c r="AS24" s="2" t="str">
        <f aca="false">IF(AND(G24="true",J24="true",M24="true",P24="true",S24="true"),"true","false")</f>
        <v>false</v>
      </c>
      <c r="AT24" s="0" t="str">
        <f aca="false">IF(AND(Y24="true",AB24="true",AE24="true",AH24="true",AK24="true"),"true","false")</f>
        <v>false</v>
      </c>
    </row>
    <row r="25" customFormat="false" ht="12.8" hidden="false" customHeight="false" outlineLevel="0" collapsed="false">
      <c r="A25" s="0" t="s">
        <v>544</v>
      </c>
      <c r="B25" s="0" t="s">
        <v>1</v>
      </c>
      <c r="C25" s="0" t="s">
        <v>474</v>
      </c>
      <c r="D25" s="0" t="s">
        <v>469</v>
      </c>
      <c r="E25" s="0" t="n">
        <v>75.933859</v>
      </c>
      <c r="F25" s="0" t="s">
        <v>480</v>
      </c>
      <c r="G25" s="1" t="s">
        <v>5</v>
      </c>
      <c r="H25" s="0" t="n">
        <v>30.714442</v>
      </c>
      <c r="I25" s="0" t="s">
        <v>476</v>
      </c>
      <c r="J25" s="1" t="s">
        <v>5</v>
      </c>
      <c r="K25" s="0" t="n">
        <v>28.966594</v>
      </c>
      <c r="L25" s="0" t="s">
        <v>477</v>
      </c>
      <c r="M25" s="1" t="s">
        <v>5</v>
      </c>
      <c r="N25" s="0" t="n">
        <v>123.498704</v>
      </c>
      <c r="O25" s="0" t="s">
        <v>478</v>
      </c>
      <c r="P25" s="1" t="s">
        <v>5</v>
      </c>
      <c r="Q25" s="0" t="n">
        <v>52.186142</v>
      </c>
      <c r="R25" s="0" t="s">
        <v>9</v>
      </c>
      <c r="S25" s="1" t="s">
        <v>6</v>
      </c>
      <c r="T25" s="0" t="s">
        <v>10</v>
      </c>
      <c r="U25" s="0" t="s">
        <v>468</v>
      </c>
      <c r="V25" s="0" t="s">
        <v>469</v>
      </c>
      <c r="W25" s="0" t="n">
        <v>49.887412</v>
      </c>
      <c r="X25" s="0" t="s">
        <v>470</v>
      </c>
      <c r="Y25" s="1" t="s">
        <v>5</v>
      </c>
      <c r="Z25" s="0" t="n">
        <v>27.396947</v>
      </c>
      <c r="AA25" s="0" t="s">
        <v>486</v>
      </c>
      <c r="AB25" s="1" t="s">
        <v>6</v>
      </c>
      <c r="AC25" s="0" t="n">
        <v>69.116264</v>
      </c>
      <c r="AD25" s="0" t="s">
        <v>471</v>
      </c>
      <c r="AE25" s="1" t="s">
        <v>6</v>
      </c>
      <c r="AF25" s="0" t="n">
        <v>19.571798</v>
      </c>
      <c r="AG25" s="0" t="s">
        <v>473</v>
      </c>
      <c r="AH25" s="1" t="s">
        <v>5</v>
      </c>
      <c r="AI25" s="0" t="n">
        <v>13.754507</v>
      </c>
      <c r="AJ25" s="0" t="s">
        <v>9</v>
      </c>
      <c r="AK25" s="1" t="s">
        <v>5</v>
      </c>
      <c r="AL25" s="0" t="s">
        <v>474</v>
      </c>
      <c r="AM25" s="0" t="s">
        <v>468</v>
      </c>
      <c r="AN25" s="0" t="s">
        <v>469</v>
      </c>
      <c r="AO25" s="0" t="n">
        <v>4.976864</v>
      </c>
      <c r="AP25" s="0" t="n">
        <v>0</v>
      </c>
      <c r="AQ25" s="0" t="n">
        <v>1</v>
      </c>
      <c r="AS25" s="2" t="str">
        <f aca="false">IF(AND(G25="true",J25="true",M25="true",P25="true",S25="true"),"true","false")</f>
        <v>false</v>
      </c>
      <c r="AT25" s="0" t="str">
        <f aca="false">IF(AND(Y25="true",AB25="true",AE25="true",AH25="true",AK25="true"),"true","false")</f>
        <v>false</v>
      </c>
    </row>
    <row r="26" customFormat="false" ht="12.8" hidden="false" customHeight="false" outlineLevel="0" collapsed="false">
      <c r="A26" s="0" t="s">
        <v>545</v>
      </c>
      <c r="B26" s="0" t="s">
        <v>1</v>
      </c>
      <c r="C26" s="0" t="s">
        <v>474</v>
      </c>
      <c r="D26" s="0" t="s">
        <v>469</v>
      </c>
      <c r="E26" s="0" t="n">
        <v>48.164281</v>
      </c>
      <c r="F26" s="0" t="s">
        <v>480</v>
      </c>
      <c r="G26" s="1" t="s">
        <v>5</v>
      </c>
      <c r="H26" s="0" t="n">
        <v>30.089631</v>
      </c>
      <c r="I26" s="0" t="s">
        <v>476</v>
      </c>
      <c r="J26" s="1" t="s">
        <v>5</v>
      </c>
      <c r="K26" s="0" t="n">
        <v>25.208045</v>
      </c>
      <c r="L26" s="0" t="s">
        <v>477</v>
      </c>
      <c r="M26" s="1" t="s">
        <v>5</v>
      </c>
      <c r="N26" s="0" t="n">
        <v>101.379793</v>
      </c>
      <c r="O26" s="0" t="s">
        <v>478</v>
      </c>
      <c r="P26" s="1" t="s">
        <v>5</v>
      </c>
      <c r="Q26" s="0" t="n">
        <v>29.494033</v>
      </c>
      <c r="R26" s="0" t="s">
        <v>9</v>
      </c>
      <c r="S26" s="1" t="s">
        <v>6</v>
      </c>
      <c r="T26" s="0" t="s">
        <v>10</v>
      </c>
      <c r="U26" s="0" t="s">
        <v>468</v>
      </c>
      <c r="V26" s="0" t="s">
        <v>469</v>
      </c>
      <c r="W26" s="0" t="n">
        <v>58.840673</v>
      </c>
      <c r="X26" s="0" t="s">
        <v>470</v>
      </c>
      <c r="Y26" s="1" t="s">
        <v>5</v>
      </c>
      <c r="Z26" s="0" t="n">
        <v>44.331212</v>
      </c>
      <c r="AA26" s="0" t="s">
        <v>486</v>
      </c>
      <c r="AB26" s="1" t="s">
        <v>6</v>
      </c>
      <c r="AC26" s="0" t="n">
        <v>29.316666</v>
      </c>
      <c r="AD26" s="0" t="s">
        <v>471</v>
      </c>
      <c r="AE26" s="1" t="s">
        <v>6</v>
      </c>
      <c r="AF26" s="0" t="n">
        <v>31.880439</v>
      </c>
      <c r="AG26" s="0" t="s">
        <v>473</v>
      </c>
      <c r="AH26" s="1" t="s">
        <v>5</v>
      </c>
      <c r="AI26" s="0" t="n">
        <v>17.305481</v>
      </c>
      <c r="AJ26" s="0" t="s">
        <v>9</v>
      </c>
      <c r="AK26" s="1" t="s">
        <v>5</v>
      </c>
      <c r="AL26" s="0" t="s">
        <v>474</v>
      </c>
      <c r="AM26" s="0" t="s">
        <v>468</v>
      </c>
      <c r="AN26" s="0" t="s">
        <v>469</v>
      </c>
      <c r="AO26" s="0" t="n">
        <v>6.579837</v>
      </c>
      <c r="AP26" s="0" t="n">
        <v>-1</v>
      </c>
      <c r="AQ26" s="0" t="n">
        <v>0</v>
      </c>
      <c r="AS26" s="2" t="str">
        <f aca="false">IF(AND(G26="true",J26="true",M26="true",P26="true",S26="true"),"true","false")</f>
        <v>false</v>
      </c>
      <c r="AT26" s="0" t="str">
        <f aca="false">IF(AND(Y26="true",AB26="true",AE26="true",AH26="true",AK26="true"),"true","false")</f>
        <v>false</v>
      </c>
    </row>
    <row r="27" customFormat="false" ht="12.8" hidden="false" customHeight="false" outlineLevel="0" collapsed="false">
      <c r="A27" s="0" t="s">
        <v>546</v>
      </c>
      <c r="B27" s="0" t="s">
        <v>1</v>
      </c>
      <c r="C27" s="0" t="s">
        <v>468</v>
      </c>
      <c r="D27" s="0" t="s">
        <v>469</v>
      </c>
      <c r="E27" s="0" t="n">
        <v>90.404471</v>
      </c>
      <c r="F27" s="0" t="s">
        <v>547</v>
      </c>
      <c r="G27" s="1" t="s">
        <v>6</v>
      </c>
      <c r="H27" s="0" t="n">
        <v>86.211963</v>
      </c>
      <c r="I27" s="0" t="s">
        <v>548</v>
      </c>
      <c r="J27" s="1" t="s">
        <v>6</v>
      </c>
      <c r="K27" s="0" t="n">
        <v>14.232178</v>
      </c>
      <c r="L27" s="0" t="s">
        <v>549</v>
      </c>
      <c r="M27" s="1" t="s">
        <v>6</v>
      </c>
      <c r="N27" s="0" t="n">
        <v>23.913658</v>
      </c>
      <c r="O27" s="0" t="s">
        <v>473</v>
      </c>
      <c r="P27" s="1" t="s">
        <v>5</v>
      </c>
      <c r="Q27" s="0" t="n">
        <v>28.659458</v>
      </c>
      <c r="R27" s="0" t="s">
        <v>15</v>
      </c>
      <c r="S27" s="1" t="s">
        <v>6</v>
      </c>
      <c r="T27" s="0" t="s">
        <v>10</v>
      </c>
      <c r="U27" s="0" t="s">
        <v>474</v>
      </c>
      <c r="V27" s="0" t="s">
        <v>469</v>
      </c>
      <c r="W27" s="0" t="n">
        <v>83.373382</v>
      </c>
      <c r="X27" s="0" t="s">
        <v>550</v>
      </c>
      <c r="Y27" s="1" t="s">
        <v>6</v>
      </c>
      <c r="Z27" s="0" t="n">
        <v>44.83108</v>
      </c>
      <c r="AA27" s="0" t="s">
        <v>476</v>
      </c>
      <c r="AB27" s="1" t="s">
        <v>5</v>
      </c>
      <c r="AC27" s="0" t="n">
        <v>12.180515</v>
      </c>
      <c r="AD27" s="0" t="s">
        <v>502</v>
      </c>
      <c r="AE27" s="1" t="s">
        <v>6</v>
      </c>
      <c r="AF27" s="0" t="n">
        <v>41.354791</v>
      </c>
      <c r="AG27" s="0" t="s">
        <v>551</v>
      </c>
      <c r="AH27" s="1" t="s">
        <v>6</v>
      </c>
      <c r="AI27" s="0" t="n">
        <v>4.315284</v>
      </c>
      <c r="AJ27" s="0" t="s">
        <v>15</v>
      </c>
      <c r="AK27" s="1" t="s">
        <v>6</v>
      </c>
      <c r="AL27" s="0" t="s">
        <v>468</v>
      </c>
      <c r="AM27" s="0" t="s">
        <v>474</v>
      </c>
      <c r="AN27" s="0" t="s">
        <v>469</v>
      </c>
      <c r="AO27" s="0" t="n">
        <v>9.43369</v>
      </c>
      <c r="AP27" s="0" t="n">
        <v>2</v>
      </c>
      <c r="AQ27" s="0" t="n">
        <v>2</v>
      </c>
      <c r="AR27" s="0" t="s">
        <v>552</v>
      </c>
      <c r="AS27" s="2" t="str">
        <f aca="false">IF(AND(G27="true",J27="true",M27="true",P27="true",S27="true"),"true","false")</f>
        <v>false</v>
      </c>
      <c r="AT27" s="0" t="str">
        <f aca="false">IF(AND(Y27="true",AB27="true",AE27="true",AH27="true",AK27="true"),"true","false")</f>
        <v>false</v>
      </c>
    </row>
    <row r="28" customFormat="false" ht="12.8" hidden="false" customHeight="false" outlineLevel="0" collapsed="false">
      <c r="A28" s="0" t="s">
        <v>553</v>
      </c>
      <c r="B28" s="0" t="s">
        <v>1</v>
      </c>
      <c r="C28" s="0" t="s">
        <v>474</v>
      </c>
      <c r="D28" s="0" t="s">
        <v>469</v>
      </c>
      <c r="E28" s="0" t="n">
        <v>55.493849</v>
      </c>
      <c r="F28" s="0" t="s">
        <v>488</v>
      </c>
      <c r="G28" s="1" t="s">
        <v>6</v>
      </c>
      <c r="H28" s="0" t="n">
        <v>17.770254</v>
      </c>
      <c r="I28" s="0" t="s">
        <v>484</v>
      </c>
      <c r="J28" s="1" t="s">
        <v>6</v>
      </c>
      <c r="K28" s="0" t="n">
        <v>30.309642</v>
      </c>
      <c r="L28" s="0" t="s">
        <v>480</v>
      </c>
      <c r="M28" s="1" t="s">
        <v>6</v>
      </c>
      <c r="N28" s="0" t="n">
        <v>87.252559</v>
      </c>
      <c r="O28" s="0" t="s">
        <v>554</v>
      </c>
      <c r="P28" s="1" t="s">
        <v>6</v>
      </c>
      <c r="Q28" s="0" t="n">
        <v>9.886547</v>
      </c>
      <c r="R28" s="0" t="s">
        <v>9</v>
      </c>
      <c r="S28" s="1" t="s">
        <v>6</v>
      </c>
      <c r="T28" s="0" t="s">
        <v>10</v>
      </c>
      <c r="U28" s="0" t="s">
        <v>468</v>
      </c>
      <c r="V28" s="0" t="s">
        <v>469</v>
      </c>
      <c r="W28" s="0" t="n">
        <v>86.950487</v>
      </c>
      <c r="X28" s="0" t="s">
        <v>555</v>
      </c>
      <c r="Y28" s="1" t="s">
        <v>6</v>
      </c>
      <c r="Z28" s="0" t="n">
        <v>45.08222</v>
      </c>
      <c r="AA28" s="0" t="s">
        <v>470</v>
      </c>
      <c r="AB28" s="1" t="s">
        <v>6</v>
      </c>
      <c r="AC28" s="0" t="n">
        <v>9.947925</v>
      </c>
      <c r="AD28" s="0" t="s">
        <v>556</v>
      </c>
      <c r="AE28" s="1" t="s">
        <v>6</v>
      </c>
      <c r="AF28" s="0" t="n">
        <v>35.992339</v>
      </c>
      <c r="AG28" s="0" t="s">
        <v>473</v>
      </c>
      <c r="AH28" s="1" t="s">
        <v>5</v>
      </c>
      <c r="AI28" s="0" t="n">
        <v>12.393257</v>
      </c>
      <c r="AJ28" s="0" t="s">
        <v>9</v>
      </c>
      <c r="AK28" s="1" t="s">
        <v>5</v>
      </c>
      <c r="AL28" s="0" t="s">
        <v>474</v>
      </c>
      <c r="AM28" s="0" t="s">
        <v>468</v>
      </c>
      <c r="AN28" s="0" t="s">
        <v>469</v>
      </c>
      <c r="AO28" s="0" t="n">
        <v>8.668344</v>
      </c>
      <c r="AP28" s="0" t="n">
        <v>2</v>
      </c>
      <c r="AQ28" s="0" t="n">
        <v>1</v>
      </c>
      <c r="AS28" s="2" t="str">
        <f aca="false">IF(AND(G28="true",J28="true",M28="true",P28="true",S28="true"),"true","false")</f>
        <v>false</v>
      </c>
      <c r="AT28" s="0" t="str">
        <f aca="false">IF(AND(Y28="true",AB28="true",AE28="true",AH28="true",AK28="true"),"true","false")</f>
        <v>false</v>
      </c>
    </row>
    <row r="29" customFormat="false" ht="12.8" hidden="false" customHeight="false" outlineLevel="0" collapsed="false">
      <c r="A29" s="0" t="s">
        <v>557</v>
      </c>
      <c r="B29" s="0" t="s">
        <v>1</v>
      </c>
      <c r="C29" s="0" t="s">
        <v>468</v>
      </c>
      <c r="D29" s="0" t="s">
        <v>469</v>
      </c>
      <c r="E29" s="0" t="n">
        <v>44.001812</v>
      </c>
      <c r="F29" s="0" t="s">
        <v>470</v>
      </c>
      <c r="G29" s="1" t="s">
        <v>5</v>
      </c>
      <c r="H29" s="0" t="n">
        <v>44.747282</v>
      </c>
      <c r="I29" s="0" t="s">
        <v>471</v>
      </c>
      <c r="J29" s="1" t="s">
        <v>5</v>
      </c>
      <c r="K29" s="0" t="n">
        <v>19.417192</v>
      </c>
      <c r="L29" s="0" t="s">
        <v>486</v>
      </c>
      <c r="M29" s="1" t="s">
        <v>5</v>
      </c>
      <c r="N29" s="0" t="n">
        <v>16.218436</v>
      </c>
      <c r="O29" s="0" t="s">
        <v>473</v>
      </c>
      <c r="P29" s="1" t="s">
        <v>5</v>
      </c>
      <c r="Q29" s="0" t="n">
        <v>46.814952</v>
      </c>
      <c r="R29" s="0" t="s">
        <v>9</v>
      </c>
      <c r="S29" s="1" t="s">
        <v>6</v>
      </c>
      <c r="T29" s="0" t="s">
        <v>10</v>
      </c>
      <c r="U29" s="0" t="s">
        <v>474</v>
      </c>
      <c r="V29" s="0" t="s">
        <v>469</v>
      </c>
      <c r="W29" s="0" t="n">
        <v>5.080298</v>
      </c>
      <c r="Y29" s="1" t="s">
        <v>6</v>
      </c>
      <c r="Z29" s="0" t="n">
        <v>1.940017</v>
      </c>
      <c r="AB29" s="1" t="s">
        <v>6</v>
      </c>
      <c r="AC29" s="0" t="n">
        <v>1.898759</v>
      </c>
      <c r="AE29" s="1" t="s">
        <v>6</v>
      </c>
      <c r="AF29" s="0" t="n">
        <v>1.912547</v>
      </c>
      <c r="AH29" s="1" t="s">
        <v>6</v>
      </c>
      <c r="AI29" s="0" t="n">
        <v>1.206811</v>
      </c>
      <c r="AK29" s="1" t="s">
        <v>6</v>
      </c>
      <c r="AL29" s="0" t="s">
        <v>468</v>
      </c>
      <c r="AM29" s="0" t="s">
        <v>474</v>
      </c>
      <c r="AN29" s="0" t="s">
        <v>469</v>
      </c>
      <c r="AO29" s="0" t="n">
        <v>2.852034</v>
      </c>
      <c r="AS29" s="2" t="str">
        <f aca="false">IF(AND(G29="true",J29="true",M29="true",P29="true",S29="true"),"true","false")</f>
        <v>false</v>
      </c>
      <c r="AT29" s="0" t="str">
        <f aca="false">IF(AND(Y29="true",AB29="true",AE29="true",AH29="true",AK29="true"),"true","false")</f>
        <v>false</v>
      </c>
    </row>
    <row r="30" customFormat="false" ht="12.8" hidden="false" customHeight="false" outlineLevel="0" collapsed="false">
      <c r="A30" s="0" t="s">
        <v>558</v>
      </c>
      <c r="B30" s="0" t="s">
        <v>1</v>
      </c>
      <c r="C30" s="0" t="s">
        <v>474</v>
      </c>
      <c r="D30" s="0" t="s">
        <v>469</v>
      </c>
      <c r="E30" s="0" t="n">
        <v>80.41652</v>
      </c>
      <c r="F30" s="0" t="s">
        <v>480</v>
      </c>
      <c r="G30" s="1" t="s">
        <v>5</v>
      </c>
      <c r="H30" s="0" t="n">
        <v>27.934443</v>
      </c>
      <c r="I30" s="0" t="s">
        <v>476</v>
      </c>
      <c r="J30" s="1" t="s">
        <v>5</v>
      </c>
      <c r="K30" s="0" t="n">
        <v>18.521805</v>
      </c>
      <c r="L30" s="0" t="s">
        <v>477</v>
      </c>
      <c r="M30" s="1" t="s">
        <v>5</v>
      </c>
      <c r="N30" s="0" t="n">
        <v>62.92595</v>
      </c>
      <c r="O30" s="0" t="s">
        <v>478</v>
      </c>
      <c r="P30" s="1" t="s">
        <v>5</v>
      </c>
      <c r="Q30" s="0" t="n">
        <v>4.805642</v>
      </c>
      <c r="R30" s="0" t="s">
        <v>51</v>
      </c>
      <c r="S30" s="1" t="s">
        <v>5</v>
      </c>
      <c r="T30" s="0" t="s">
        <v>10</v>
      </c>
      <c r="U30" s="0" t="s">
        <v>468</v>
      </c>
      <c r="V30" s="0" t="s">
        <v>469</v>
      </c>
      <c r="W30" s="0" t="n">
        <v>52.729642</v>
      </c>
      <c r="X30" s="0" t="s">
        <v>559</v>
      </c>
      <c r="Y30" s="1" t="s">
        <v>6</v>
      </c>
      <c r="Z30" s="0" t="n">
        <v>35.8359</v>
      </c>
      <c r="AA30" s="0" t="s">
        <v>516</v>
      </c>
      <c r="AB30" s="1" t="s">
        <v>6</v>
      </c>
      <c r="AC30" s="0" t="n">
        <v>34.386664</v>
      </c>
      <c r="AD30" s="0" t="s">
        <v>560</v>
      </c>
      <c r="AE30" s="1" t="s">
        <v>6</v>
      </c>
      <c r="AF30" s="0" t="n">
        <v>13.819069</v>
      </c>
      <c r="AH30" s="1" t="s">
        <v>6</v>
      </c>
      <c r="AI30" s="0" t="n">
        <v>3.608397</v>
      </c>
      <c r="AJ30" s="0" t="s">
        <v>51</v>
      </c>
      <c r="AK30" s="1" t="s">
        <v>6</v>
      </c>
      <c r="AL30" s="0" t="s">
        <v>474</v>
      </c>
      <c r="AM30" s="0" t="s">
        <v>468</v>
      </c>
      <c r="AN30" s="0" t="s">
        <v>469</v>
      </c>
      <c r="AO30" s="0" t="n">
        <v>47.787162</v>
      </c>
      <c r="AP30" s="0" t="n">
        <v>-2</v>
      </c>
      <c r="AQ30" s="0" t="n">
        <v>-1</v>
      </c>
      <c r="AR30" s="0" t="s">
        <v>561</v>
      </c>
      <c r="AS30" s="2" t="str">
        <f aca="false">IF(AND(G30="true",J30="true",M30="true",P30="true",S30="true"),"true","false")</f>
        <v>true</v>
      </c>
      <c r="AT30" s="0" t="str">
        <f aca="false">IF(AND(Y30="true",AB30="true",AE30="true",AH30="true",AK30="true"),"true","false")</f>
        <v>false</v>
      </c>
    </row>
    <row r="31" customFormat="false" ht="12.8" hidden="false" customHeight="false" outlineLevel="0" collapsed="false">
      <c r="A31" s="0" t="s">
        <v>562</v>
      </c>
      <c r="B31" s="0" t="s">
        <v>1</v>
      </c>
      <c r="C31" s="0" t="s">
        <v>474</v>
      </c>
      <c r="D31" s="0" t="s">
        <v>469</v>
      </c>
      <c r="E31" s="0" t="n">
        <v>73.131537</v>
      </c>
      <c r="F31" s="0" t="s">
        <v>480</v>
      </c>
      <c r="G31" s="1" t="s">
        <v>5</v>
      </c>
      <c r="H31" s="0" t="n">
        <v>34.479443</v>
      </c>
      <c r="I31" s="0" t="s">
        <v>481</v>
      </c>
      <c r="J31" s="1" t="s">
        <v>6</v>
      </c>
      <c r="K31" s="0" t="n">
        <v>32.682987</v>
      </c>
      <c r="L31" s="0" t="s">
        <v>477</v>
      </c>
      <c r="M31" s="1" t="s">
        <v>5</v>
      </c>
      <c r="N31" s="0" t="n">
        <v>97.369999</v>
      </c>
      <c r="O31" s="0" t="s">
        <v>563</v>
      </c>
      <c r="P31" s="1" t="s">
        <v>6</v>
      </c>
      <c r="Q31" s="0" t="n">
        <v>11.600504</v>
      </c>
      <c r="R31" s="0" t="s">
        <v>15</v>
      </c>
      <c r="S31" s="1" t="s">
        <v>6</v>
      </c>
      <c r="T31" s="0" t="s">
        <v>10</v>
      </c>
      <c r="U31" s="0" t="s">
        <v>468</v>
      </c>
      <c r="V31" s="0" t="s">
        <v>469</v>
      </c>
      <c r="W31" s="0" t="n">
        <v>55.847688</v>
      </c>
      <c r="X31" s="0" t="s">
        <v>470</v>
      </c>
      <c r="Y31" s="1" t="s">
        <v>5</v>
      </c>
      <c r="Z31" s="0" t="n">
        <v>35.008152</v>
      </c>
      <c r="AA31" s="0" t="s">
        <v>498</v>
      </c>
      <c r="AB31" s="1" t="s">
        <v>6</v>
      </c>
      <c r="AC31" s="0" t="n">
        <v>45.489583</v>
      </c>
      <c r="AD31" s="0" t="s">
        <v>494</v>
      </c>
      <c r="AE31" s="1" t="s">
        <v>6</v>
      </c>
      <c r="AF31" s="0" t="n">
        <v>16.811858</v>
      </c>
      <c r="AG31" s="0" t="s">
        <v>473</v>
      </c>
      <c r="AH31" s="1" t="s">
        <v>5</v>
      </c>
      <c r="AI31" s="0" t="n">
        <v>9.83739</v>
      </c>
      <c r="AJ31" s="0" t="s">
        <v>15</v>
      </c>
      <c r="AK31" s="1" t="s">
        <v>6</v>
      </c>
      <c r="AL31" s="0" t="s">
        <v>474</v>
      </c>
      <c r="AM31" s="0" t="s">
        <v>468</v>
      </c>
      <c r="AN31" s="0" t="s">
        <v>469</v>
      </c>
      <c r="AO31" s="0" t="n">
        <v>10.686238</v>
      </c>
      <c r="AP31" s="0" t="n">
        <v>-2</v>
      </c>
      <c r="AQ31" s="0" t="n">
        <v>0</v>
      </c>
      <c r="AS31" s="2" t="str">
        <f aca="false">IF(AND(G31="true",J31="true",M31="true",P31="true",S31="true"),"true","false")</f>
        <v>false</v>
      </c>
      <c r="AT31" s="0" t="str">
        <f aca="false">IF(AND(Y31="true",AB31="true",AE31="true",AH31="true",AK31="true"),"true","false")</f>
        <v>false</v>
      </c>
    </row>
    <row r="32" customFormat="false" ht="12.8" hidden="false" customHeight="false" outlineLevel="0" collapsed="false">
      <c r="A32" s="0" t="s">
        <v>564</v>
      </c>
      <c r="B32" s="0" t="s">
        <v>1</v>
      </c>
      <c r="C32" s="0" t="s">
        <v>468</v>
      </c>
      <c r="D32" s="0" t="s">
        <v>469</v>
      </c>
      <c r="E32" s="0" t="n">
        <v>71.544383</v>
      </c>
      <c r="F32" s="0" t="s">
        <v>470</v>
      </c>
      <c r="G32" s="1" t="s">
        <v>5</v>
      </c>
      <c r="H32" s="0" t="n">
        <v>42.778621</v>
      </c>
      <c r="I32" s="0" t="s">
        <v>471</v>
      </c>
      <c r="J32" s="1" t="s">
        <v>5</v>
      </c>
      <c r="K32" s="0" t="n">
        <v>45.078685</v>
      </c>
      <c r="L32" s="0" t="s">
        <v>486</v>
      </c>
      <c r="M32" s="1" t="s">
        <v>5</v>
      </c>
      <c r="N32" s="0" t="n">
        <v>23.496857</v>
      </c>
      <c r="O32" s="0" t="s">
        <v>473</v>
      </c>
      <c r="P32" s="1" t="s">
        <v>5</v>
      </c>
      <c r="Q32" s="0" t="n">
        <v>10.428616</v>
      </c>
      <c r="R32" s="0" t="s">
        <v>15</v>
      </c>
      <c r="S32" s="1" t="s">
        <v>6</v>
      </c>
      <c r="T32" s="0" t="s">
        <v>10</v>
      </c>
      <c r="U32" s="0" t="s">
        <v>474</v>
      </c>
      <c r="V32" s="0" t="s">
        <v>469</v>
      </c>
      <c r="W32" s="0" t="n">
        <v>40.574121</v>
      </c>
      <c r="X32" s="0" t="s">
        <v>480</v>
      </c>
      <c r="Y32" s="1" t="s">
        <v>5</v>
      </c>
      <c r="Z32" s="0" t="n">
        <v>35.339265</v>
      </c>
      <c r="AA32" s="0" t="s">
        <v>476</v>
      </c>
      <c r="AB32" s="1" t="s">
        <v>5</v>
      </c>
      <c r="AC32" s="0" t="n">
        <v>16.64785</v>
      </c>
      <c r="AD32" s="0" t="s">
        <v>477</v>
      </c>
      <c r="AE32" s="1" t="s">
        <v>5</v>
      </c>
      <c r="AF32" s="0" t="n">
        <v>58.563433</v>
      </c>
      <c r="AG32" s="0" t="s">
        <v>478</v>
      </c>
      <c r="AH32" s="1" t="s">
        <v>5</v>
      </c>
      <c r="AI32" s="0" t="n">
        <v>11.618494</v>
      </c>
      <c r="AJ32" s="0" t="s">
        <v>15</v>
      </c>
      <c r="AK32" s="1" t="s">
        <v>6</v>
      </c>
      <c r="AL32" s="0" t="s">
        <v>468</v>
      </c>
      <c r="AM32" s="0" t="s">
        <v>474</v>
      </c>
      <c r="AN32" s="0" t="s">
        <v>469</v>
      </c>
      <c r="AO32" s="0" t="n">
        <v>9.934963</v>
      </c>
      <c r="AP32" s="0" t="n">
        <v>-1</v>
      </c>
      <c r="AQ32" s="0" t="n">
        <v>1</v>
      </c>
      <c r="AS32" s="2" t="str">
        <f aca="false">IF(AND(G32="true",J32="true",M32="true",P32="true",S32="true"),"true","false")</f>
        <v>false</v>
      </c>
      <c r="AT32" s="0" t="str">
        <f aca="false">IF(AND(Y32="true",AB32="true",AE32="true",AH32="true",AK32="true"),"true","false")</f>
        <v>false</v>
      </c>
    </row>
    <row r="33" customFormat="false" ht="12.8" hidden="false" customHeight="false" outlineLevel="0" collapsed="false">
      <c r="A33" s="0" t="s">
        <v>565</v>
      </c>
      <c r="B33" s="0" t="s">
        <v>1</v>
      </c>
      <c r="C33" s="0" t="s">
        <v>474</v>
      </c>
      <c r="D33" s="0" t="s">
        <v>469</v>
      </c>
      <c r="E33" s="0" t="n">
        <v>68.772021</v>
      </c>
      <c r="F33" s="0" t="s">
        <v>566</v>
      </c>
      <c r="G33" s="1" t="s">
        <v>6</v>
      </c>
      <c r="H33" s="0" t="n">
        <v>41.308341</v>
      </c>
      <c r="I33" s="0" t="s">
        <v>481</v>
      </c>
      <c r="J33" s="1" t="s">
        <v>6</v>
      </c>
      <c r="K33" s="0" t="n">
        <v>36.610627</v>
      </c>
      <c r="L33" s="0" t="s">
        <v>477</v>
      </c>
      <c r="M33" s="1" t="s">
        <v>5</v>
      </c>
      <c r="N33" s="0" t="n">
        <v>41.893397</v>
      </c>
      <c r="O33" s="0" t="s">
        <v>567</v>
      </c>
      <c r="P33" s="1" t="s">
        <v>6</v>
      </c>
      <c r="Q33" s="0" t="n">
        <v>21.838222</v>
      </c>
      <c r="R33" s="0" t="s">
        <v>15</v>
      </c>
      <c r="S33" s="1" t="s">
        <v>6</v>
      </c>
      <c r="T33" s="0" t="s">
        <v>10</v>
      </c>
      <c r="U33" s="0" t="s">
        <v>468</v>
      </c>
      <c r="V33" s="0" t="s">
        <v>469</v>
      </c>
      <c r="W33" s="0" t="n">
        <v>5.992167</v>
      </c>
      <c r="Y33" s="1" t="s">
        <v>6</v>
      </c>
      <c r="Z33" s="0" t="n">
        <v>1.181696</v>
      </c>
      <c r="AB33" s="1" t="s">
        <v>6</v>
      </c>
      <c r="AC33" s="0" t="n">
        <v>24.698505</v>
      </c>
      <c r="AD33" s="0" t="s">
        <v>568</v>
      </c>
      <c r="AE33" s="1" t="s">
        <v>6</v>
      </c>
      <c r="AF33" s="0" t="n">
        <v>6.090524</v>
      </c>
      <c r="AG33" s="0" t="s">
        <v>266</v>
      </c>
      <c r="AH33" s="1" t="s">
        <v>6</v>
      </c>
      <c r="AI33" s="0" t="n">
        <v>5.848127</v>
      </c>
      <c r="AJ33" s="0" t="s">
        <v>15</v>
      </c>
      <c r="AK33" s="1" t="s">
        <v>6</v>
      </c>
      <c r="AL33" s="0" t="s">
        <v>474</v>
      </c>
      <c r="AM33" s="0" t="s">
        <v>468</v>
      </c>
      <c r="AN33" s="0" t="s">
        <v>469</v>
      </c>
      <c r="AO33" s="0" t="n">
        <v>2.570409</v>
      </c>
      <c r="AP33" s="0" t="n">
        <v>0</v>
      </c>
      <c r="AQ33" s="0" t="n">
        <v>0</v>
      </c>
      <c r="AS33" s="2" t="str">
        <f aca="false">IF(AND(G33="true",J33="true",M33="true",P33="true",S33="true"),"true","false")</f>
        <v>false</v>
      </c>
      <c r="AT33" s="0" t="str">
        <f aca="false">IF(AND(Y33="true",AB33="true",AE33="true",AH33="true",AK33="true"),"true","false")</f>
        <v>false</v>
      </c>
    </row>
    <row r="34" customFormat="false" ht="24.05" hidden="false" customHeight="false" outlineLevel="0" collapsed="false">
      <c r="A34" s="0" t="s">
        <v>569</v>
      </c>
      <c r="B34" s="0" t="s">
        <v>1</v>
      </c>
      <c r="C34" s="0" t="s">
        <v>474</v>
      </c>
      <c r="D34" s="0" t="s">
        <v>469</v>
      </c>
      <c r="E34" s="0" t="n">
        <v>40.425763</v>
      </c>
      <c r="F34" s="0" t="s">
        <v>480</v>
      </c>
      <c r="G34" s="1" t="s">
        <v>5</v>
      </c>
      <c r="H34" s="0" t="n">
        <v>22.090945</v>
      </c>
      <c r="I34" s="0" t="s">
        <v>476</v>
      </c>
      <c r="J34" s="1" t="s">
        <v>5</v>
      </c>
      <c r="K34" s="0" t="n">
        <v>13.9294</v>
      </c>
      <c r="L34" s="0" t="s">
        <v>484</v>
      </c>
      <c r="M34" s="1" t="s">
        <v>6</v>
      </c>
      <c r="N34" s="0" t="n">
        <v>24.846702</v>
      </c>
      <c r="O34" s="0" t="s">
        <v>570</v>
      </c>
      <c r="P34" s="1" t="s">
        <v>6</v>
      </c>
      <c r="Q34" s="0" t="n">
        <v>6.433883</v>
      </c>
      <c r="R34" s="0" t="s">
        <v>9</v>
      </c>
      <c r="S34" s="1" t="s">
        <v>6</v>
      </c>
      <c r="T34" s="0" t="s">
        <v>10</v>
      </c>
      <c r="U34" s="0" t="s">
        <v>468</v>
      </c>
      <c r="V34" s="0" t="s">
        <v>469</v>
      </c>
      <c r="W34" s="0" t="n">
        <v>41.041948</v>
      </c>
      <c r="X34" s="0" t="s">
        <v>470</v>
      </c>
      <c r="Y34" s="1" t="s">
        <v>5</v>
      </c>
      <c r="Z34" s="0" t="n">
        <v>27.493113</v>
      </c>
      <c r="AA34" s="0" t="s">
        <v>494</v>
      </c>
      <c r="AB34" s="1" t="s">
        <v>6</v>
      </c>
      <c r="AC34" s="0" t="n">
        <v>8.684283</v>
      </c>
      <c r="AD34" s="0" t="s">
        <v>537</v>
      </c>
      <c r="AE34" s="1" t="s">
        <v>6</v>
      </c>
      <c r="AF34" s="0" t="n">
        <v>16.987505</v>
      </c>
      <c r="AG34" s="0" t="s">
        <v>473</v>
      </c>
      <c r="AH34" s="1" t="s">
        <v>5</v>
      </c>
      <c r="AI34" s="0" t="n">
        <v>7.595051</v>
      </c>
      <c r="AJ34" s="0" t="s">
        <v>15</v>
      </c>
      <c r="AK34" s="1" t="s">
        <v>6</v>
      </c>
      <c r="AL34" s="0" t="s">
        <v>474</v>
      </c>
      <c r="AM34" s="0" t="s">
        <v>468</v>
      </c>
      <c r="AN34" s="0" t="s">
        <v>469</v>
      </c>
      <c r="AO34" s="0" t="n">
        <v>16.592226</v>
      </c>
      <c r="AP34" s="0" t="n">
        <v>0</v>
      </c>
      <c r="AQ34" s="0" t="n">
        <v>0</v>
      </c>
      <c r="AR34" s="3" t="s">
        <v>571</v>
      </c>
      <c r="AS34" s="2" t="str">
        <f aca="false">IF(AND(G34="true",J34="true",M34="true",P34="true",S34="true"),"true","false")</f>
        <v>false</v>
      </c>
      <c r="AT34" s="0" t="str">
        <f aca="false">IF(AND(Y34="true",AB34="true",AE34="true",AH34="true",AK34="true"),"true","false")</f>
        <v>false</v>
      </c>
    </row>
    <row r="35" customFormat="false" ht="12.8" hidden="false" customHeight="false" outlineLevel="0" collapsed="false">
      <c r="A35" s="0" t="s">
        <v>572</v>
      </c>
      <c r="B35" s="0" t="s">
        <v>1</v>
      </c>
      <c r="C35" s="0" t="s">
        <v>474</v>
      </c>
      <c r="D35" s="0" t="s">
        <v>469</v>
      </c>
      <c r="E35" s="0" t="n">
        <v>43.36874</v>
      </c>
      <c r="F35" s="0" t="s">
        <v>480</v>
      </c>
      <c r="G35" s="1" t="s">
        <v>5</v>
      </c>
      <c r="H35" s="0" t="n">
        <v>46.147758</v>
      </c>
      <c r="I35" s="0" t="s">
        <v>476</v>
      </c>
      <c r="J35" s="1" t="s">
        <v>5</v>
      </c>
      <c r="K35" s="0" t="n">
        <v>26.15566</v>
      </c>
      <c r="L35" s="0" t="s">
        <v>484</v>
      </c>
      <c r="M35" s="1" t="s">
        <v>6</v>
      </c>
      <c r="N35" s="0" t="n">
        <v>23.844283</v>
      </c>
      <c r="O35" s="0" t="s">
        <v>573</v>
      </c>
      <c r="P35" s="1" t="s">
        <v>6</v>
      </c>
      <c r="Q35" s="0" t="n">
        <v>3.353074</v>
      </c>
      <c r="R35" s="0" t="s">
        <v>15</v>
      </c>
      <c r="S35" s="1" t="s">
        <v>6</v>
      </c>
      <c r="T35" s="0" t="s">
        <v>10</v>
      </c>
      <c r="U35" s="0" t="s">
        <v>468</v>
      </c>
      <c r="V35" s="0" t="s">
        <v>469</v>
      </c>
      <c r="W35" s="0" t="n">
        <v>12.869297</v>
      </c>
      <c r="Y35" s="1" t="s">
        <v>6</v>
      </c>
      <c r="Z35" s="0" t="n">
        <v>0.620059</v>
      </c>
      <c r="AB35" s="1" t="s">
        <v>6</v>
      </c>
      <c r="AC35" s="0" t="n">
        <v>0.34405</v>
      </c>
      <c r="AE35" s="1" t="s">
        <v>6</v>
      </c>
      <c r="AF35" s="0" t="n">
        <v>1.063079</v>
      </c>
      <c r="AH35" s="1" t="s">
        <v>6</v>
      </c>
      <c r="AI35" s="0" t="n">
        <v>2.310797</v>
      </c>
      <c r="AK35" s="1" t="s">
        <v>6</v>
      </c>
      <c r="AL35" s="0" t="s">
        <v>474</v>
      </c>
      <c r="AM35" s="0" t="s">
        <v>468</v>
      </c>
      <c r="AN35" s="0" t="s">
        <v>469</v>
      </c>
      <c r="AO35" s="0" t="n">
        <v>10.398126</v>
      </c>
      <c r="AP35" s="0" t="n">
        <v>-2</v>
      </c>
      <c r="AQ35" s="0" t="n">
        <v>2</v>
      </c>
      <c r="AS35" s="2" t="str">
        <f aca="false">IF(AND(G35="true",J35="true",M35="true",P35="true",S35="true"),"true","false")</f>
        <v>false</v>
      </c>
      <c r="AT35" s="0" t="str">
        <f aca="false">IF(AND(Y35="true",AB35="true",AE35="true",AH35="true",AK35="true"),"true","false")</f>
        <v>false</v>
      </c>
    </row>
    <row r="36" customFormat="false" ht="12.8" hidden="false" customHeight="false" outlineLevel="0" collapsed="false">
      <c r="A36" s="0" t="s">
        <v>574</v>
      </c>
      <c r="B36" s="0" t="s">
        <v>1</v>
      </c>
      <c r="C36" s="0" t="s">
        <v>468</v>
      </c>
      <c r="D36" s="0" t="s">
        <v>469</v>
      </c>
      <c r="E36" s="0" t="n">
        <v>102.010167</v>
      </c>
      <c r="F36" s="0" t="s">
        <v>470</v>
      </c>
      <c r="G36" s="1" t="s">
        <v>5</v>
      </c>
      <c r="H36" s="0" t="n">
        <v>75.809174</v>
      </c>
      <c r="I36" s="0" t="s">
        <v>471</v>
      </c>
      <c r="J36" s="1" t="s">
        <v>5</v>
      </c>
      <c r="K36" s="0" t="n">
        <v>39.459376</v>
      </c>
      <c r="L36" s="0" t="s">
        <v>486</v>
      </c>
      <c r="M36" s="1" t="s">
        <v>5</v>
      </c>
      <c r="N36" s="0" t="n">
        <v>29.015865</v>
      </c>
      <c r="O36" s="0" t="s">
        <v>473</v>
      </c>
      <c r="P36" s="1" t="s">
        <v>5</v>
      </c>
      <c r="Q36" s="0" t="n">
        <v>10.921556</v>
      </c>
      <c r="R36" s="0" t="s">
        <v>9</v>
      </c>
      <c r="S36" s="1" t="s">
        <v>6</v>
      </c>
      <c r="T36" s="0" t="s">
        <v>10</v>
      </c>
      <c r="U36" s="0" t="s">
        <v>474</v>
      </c>
      <c r="V36" s="0" t="s">
        <v>469</v>
      </c>
      <c r="W36" s="0" t="n">
        <v>112.038513</v>
      </c>
      <c r="X36" s="0" t="s">
        <v>480</v>
      </c>
      <c r="Y36" s="1" t="s">
        <v>5</v>
      </c>
      <c r="Z36" s="0" t="n">
        <v>23.22263</v>
      </c>
      <c r="AA36" s="0" t="s">
        <v>477</v>
      </c>
      <c r="AB36" s="1" t="s">
        <v>6</v>
      </c>
      <c r="AC36" s="0" t="n">
        <v>24.629135</v>
      </c>
      <c r="AD36" s="0" t="s">
        <v>476</v>
      </c>
      <c r="AE36" s="1" t="s">
        <v>6</v>
      </c>
      <c r="AF36" s="0" t="n">
        <v>50.457532</v>
      </c>
      <c r="AG36" s="0" t="s">
        <v>478</v>
      </c>
      <c r="AH36" s="1" t="s">
        <v>5</v>
      </c>
      <c r="AI36" s="0" t="n">
        <v>18.153601</v>
      </c>
      <c r="AJ36" s="0" t="s">
        <v>15</v>
      </c>
      <c r="AK36" s="1" t="s">
        <v>6</v>
      </c>
      <c r="AL36" s="0" t="s">
        <v>468</v>
      </c>
      <c r="AM36" s="0" t="s">
        <v>474</v>
      </c>
      <c r="AN36" s="0" t="s">
        <v>469</v>
      </c>
      <c r="AO36" s="0" t="n">
        <v>6.392919</v>
      </c>
      <c r="AP36" s="0" t="n">
        <v>1</v>
      </c>
      <c r="AQ36" s="0" t="n">
        <v>1</v>
      </c>
      <c r="AR36" s="0" t="s">
        <v>575</v>
      </c>
      <c r="AS36" s="2" t="str">
        <f aca="false">IF(AND(G36="true",J36="true",M36="true",P36="true",S36="true"),"true","false")</f>
        <v>false</v>
      </c>
      <c r="AT36" s="0" t="str">
        <f aca="false">IF(AND(Y36="true",AB36="true",AE36="true",AH36="true",AK36="true"),"true","false")</f>
        <v>false</v>
      </c>
    </row>
    <row r="37" customFormat="false" ht="12.8" hidden="false" customHeight="false" outlineLevel="0" collapsed="false">
      <c r="A37" s="0" t="s">
        <v>576</v>
      </c>
      <c r="B37" s="0" t="s">
        <v>1</v>
      </c>
      <c r="C37" s="0" t="s">
        <v>474</v>
      </c>
      <c r="D37" s="0" t="s">
        <v>469</v>
      </c>
      <c r="E37" s="0" t="n">
        <v>56.718011</v>
      </c>
      <c r="F37" s="0" t="s">
        <v>480</v>
      </c>
      <c r="G37" s="1" t="s">
        <v>5</v>
      </c>
      <c r="H37" s="0" t="n">
        <v>36.780535</v>
      </c>
      <c r="I37" s="0" t="s">
        <v>476</v>
      </c>
      <c r="J37" s="1" t="s">
        <v>5</v>
      </c>
      <c r="K37" s="0" t="n">
        <v>12.381321</v>
      </c>
      <c r="L37" s="0" t="s">
        <v>484</v>
      </c>
      <c r="M37" s="1" t="s">
        <v>6</v>
      </c>
      <c r="N37" s="0" t="n">
        <v>70.720963</v>
      </c>
      <c r="O37" s="0" t="s">
        <v>577</v>
      </c>
      <c r="P37" s="1" t="s">
        <v>6</v>
      </c>
      <c r="Q37" s="0" t="n">
        <v>7.145324</v>
      </c>
      <c r="R37" s="0" t="s">
        <v>15</v>
      </c>
      <c r="S37" s="1" t="s">
        <v>6</v>
      </c>
      <c r="T37" s="0" t="s">
        <v>10</v>
      </c>
      <c r="U37" s="0" t="s">
        <v>468</v>
      </c>
      <c r="V37" s="0" t="s">
        <v>469</v>
      </c>
      <c r="W37" s="0" t="n">
        <v>48.453244</v>
      </c>
      <c r="X37" s="0" t="s">
        <v>578</v>
      </c>
      <c r="Y37" s="1" t="s">
        <v>6</v>
      </c>
      <c r="Z37" s="0" t="n">
        <v>22.836339</v>
      </c>
      <c r="AA37" s="0" t="s">
        <v>485</v>
      </c>
      <c r="AB37" s="1" t="s">
        <v>6</v>
      </c>
      <c r="AC37" s="0" t="n">
        <v>21.90447</v>
      </c>
      <c r="AD37" s="0" t="s">
        <v>486</v>
      </c>
      <c r="AE37" s="1" t="s">
        <v>5</v>
      </c>
      <c r="AF37" s="0" t="n">
        <v>51.670501</v>
      </c>
      <c r="AG37" s="0" t="s">
        <v>579</v>
      </c>
      <c r="AH37" s="1" t="s">
        <v>6</v>
      </c>
      <c r="AI37" s="0" t="n">
        <v>12.034054</v>
      </c>
      <c r="AJ37" s="0" t="s">
        <v>51</v>
      </c>
      <c r="AK37" s="1" t="s">
        <v>6</v>
      </c>
      <c r="AL37" s="0" t="s">
        <v>474</v>
      </c>
      <c r="AM37" s="0" t="s">
        <v>468</v>
      </c>
      <c r="AN37" s="0" t="s">
        <v>469</v>
      </c>
      <c r="AO37" s="0" t="n">
        <v>6.481755</v>
      </c>
      <c r="AP37" s="0" t="n">
        <v>-1</v>
      </c>
      <c r="AQ37" s="0" t="n">
        <v>-1</v>
      </c>
      <c r="AS37" s="2" t="str">
        <f aca="false">IF(AND(G37="true",J37="true",M37="true",P37="true",S37="true"),"true","false")</f>
        <v>false</v>
      </c>
      <c r="AT37" s="0" t="str">
        <f aca="false">IF(AND(Y37="true",AB37="true",AE37="true",AH37="true",AK37="true"),"true","false")</f>
        <v>false</v>
      </c>
    </row>
    <row r="38" customFormat="false" ht="12.8" hidden="false" customHeight="false" outlineLevel="0" collapsed="false">
      <c r="A38" s="0" t="s">
        <v>580</v>
      </c>
      <c r="B38" s="0" t="s">
        <v>1</v>
      </c>
      <c r="C38" s="0" t="s">
        <v>474</v>
      </c>
      <c r="D38" s="0" t="s">
        <v>469</v>
      </c>
      <c r="E38" s="0" t="n">
        <v>77.38088</v>
      </c>
      <c r="F38" s="0" t="s">
        <v>480</v>
      </c>
      <c r="G38" s="1" t="s">
        <v>5</v>
      </c>
      <c r="H38" s="0" t="n">
        <v>33.123597</v>
      </c>
      <c r="I38" s="0" t="s">
        <v>476</v>
      </c>
      <c r="J38" s="1" t="s">
        <v>5</v>
      </c>
      <c r="K38" s="0" t="n">
        <v>35.040518</v>
      </c>
      <c r="L38" s="0" t="s">
        <v>477</v>
      </c>
      <c r="M38" s="1" t="s">
        <v>5</v>
      </c>
      <c r="N38" s="0" t="n">
        <v>72.690924</v>
      </c>
      <c r="O38" s="0" t="s">
        <v>478</v>
      </c>
      <c r="P38" s="1" t="s">
        <v>5</v>
      </c>
      <c r="Q38" s="0" t="n">
        <v>10.583035</v>
      </c>
      <c r="R38" s="0" t="s">
        <v>15</v>
      </c>
      <c r="S38" s="1" t="s">
        <v>6</v>
      </c>
      <c r="T38" s="0" t="s">
        <v>10</v>
      </c>
      <c r="U38" s="0" t="s">
        <v>468</v>
      </c>
      <c r="V38" s="0" t="s">
        <v>469</v>
      </c>
      <c r="W38" s="0" t="n">
        <v>55.540705</v>
      </c>
      <c r="X38" s="0" t="s">
        <v>470</v>
      </c>
      <c r="Y38" s="1" t="s">
        <v>5</v>
      </c>
      <c r="Z38" s="0" t="n">
        <v>34.902853</v>
      </c>
      <c r="AA38" s="0" t="s">
        <v>471</v>
      </c>
      <c r="AB38" s="1" t="s">
        <v>5</v>
      </c>
      <c r="AC38" s="0" t="n">
        <v>19.032711</v>
      </c>
      <c r="AD38" s="0" t="s">
        <v>486</v>
      </c>
      <c r="AE38" s="1" t="s">
        <v>5</v>
      </c>
      <c r="AF38" s="0" t="n">
        <v>17.169119</v>
      </c>
      <c r="AG38" s="0" t="s">
        <v>473</v>
      </c>
      <c r="AH38" s="1" t="s">
        <v>5</v>
      </c>
      <c r="AI38" s="0" t="n">
        <v>14.162396</v>
      </c>
      <c r="AJ38" s="0" t="s">
        <v>15</v>
      </c>
      <c r="AK38" s="1" t="s">
        <v>6</v>
      </c>
      <c r="AL38" s="0" t="s">
        <v>474</v>
      </c>
      <c r="AM38" s="0" t="s">
        <v>468</v>
      </c>
      <c r="AN38" s="0" t="s">
        <v>469</v>
      </c>
      <c r="AO38" s="0" t="n">
        <v>3.959498</v>
      </c>
      <c r="AP38" s="0" t="n">
        <v>-1</v>
      </c>
      <c r="AQ38" s="0" t="n">
        <v>-1</v>
      </c>
      <c r="AS38" s="2" t="str">
        <f aca="false">IF(AND(G38="true",J38="true",M38="true",P38="true",S38="true"),"true","false")</f>
        <v>false</v>
      </c>
      <c r="AT38" s="0" t="str">
        <f aca="false">IF(AND(Y38="true",AB38="true",AE38="true",AH38="true",AK38="true"),"true","false")</f>
        <v>false</v>
      </c>
    </row>
    <row r="39" customFormat="false" ht="12.8" hidden="false" customHeight="false" outlineLevel="0" collapsed="false">
      <c r="A39" s="0" t="s">
        <v>581</v>
      </c>
      <c r="B39" s="0" t="s">
        <v>1</v>
      </c>
      <c r="C39" s="0" t="s">
        <v>468</v>
      </c>
      <c r="D39" s="0" t="s">
        <v>469</v>
      </c>
      <c r="E39" s="0" t="n">
        <v>55.586525</v>
      </c>
      <c r="F39" s="0" t="s">
        <v>494</v>
      </c>
      <c r="G39" s="1" t="s">
        <v>6</v>
      </c>
      <c r="H39" s="0" t="n">
        <v>27.045108</v>
      </c>
      <c r="I39" s="0" t="s">
        <v>582</v>
      </c>
      <c r="J39" s="1" t="s">
        <v>6</v>
      </c>
      <c r="K39" s="0" t="n">
        <v>38.131231</v>
      </c>
      <c r="L39" s="0" t="s">
        <v>486</v>
      </c>
      <c r="M39" s="1" t="s">
        <v>5</v>
      </c>
      <c r="N39" s="0" t="n">
        <v>16.476225</v>
      </c>
      <c r="O39" s="0" t="s">
        <v>473</v>
      </c>
      <c r="P39" s="1" t="s">
        <v>5</v>
      </c>
      <c r="Q39" s="0" t="n">
        <v>25.305398</v>
      </c>
      <c r="R39" s="0" t="s">
        <v>9</v>
      </c>
      <c r="S39" s="1" t="s">
        <v>6</v>
      </c>
      <c r="T39" s="0" t="s">
        <v>10</v>
      </c>
      <c r="U39" s="0" t="s">
        <v>474</v>
      </c>
      <c r="V39" s="0" t="s">
        <v>469</v>
      </c>
      <c r="W39" s="0" t="n">
        <v>157.177108</v>
      </c>
      <c r="X39" s="0" t="s">
        <v>583</v>
      </c>
      <c r="Y39" s="1" t="s">
        <v>6</v>
      </c>
      <c r="Z39" s="0" t="n">
        <v>16.564636</v>
      </c>
      <c r="AA39" s="0" t="s">
        <v>584</v>
      </c>
      <c r="AB39" s="1" t="s">
        <v>6</v>
      </c>
      <c r="AC39" s="0" t="n">
        <v>16.358392</v>
      </c>
      <c r="AD39" s="0" t="s">
        <v>585</v>
      </c>
      <c r="AE39" s="1" t="s">
        <v>6</v>
      </c>
      <c r="AF39" s="0" t="n">
        <v>38.963216</v>
      </c>
      <c r="AG39" s="0" t="s">
        <v>586</v>
      </c>
      <c r="AH39" s="1" t="s">
        <v>6</v>
      </c>
      <c r="AI39" s="0" t="n">
        <v>14.169055</v>
      </c>
      <c r="AJ39" s="0" t="s">
        <v>15</v>
      </c>
      <c r="AK39" s="1" t="s">
        <v>6</v>
      </c>
      <c r="AL39" s="0" t="s">
        <v>468</v>
      </c>
      <c r="AM39" s="0" t="s">
        <v>474</v>
      </c>
      <c r="AN39" s="0" t="s">
        <v>469</v>
      </c>
      <c r="AO39" s="0" t="n">
        <v>2.880775</v>
      </c>
      <c r="AP39" s="0" t="n">
        <v>0</v>
      </c>
      <c r="AQ39" s="0" t="n">
        <v>0</v>
      </c>
      <c r="AS39" s="2" t="str">
        <f aca="false">IF(AND(G39="true",J39="true",M39="true",P39="true",S39="true"),"true","false")</f>
        <v>false</v>
      </c>
      <c r="AT39" s="0" t="str">
        <f aca="false">IF(AND(Y39="true",AB39="true",AE39="true",AH39="true",AK39="true"),"true","false")</f>
        <v>false</v>
      </c>
    </row>
    <row r="40" customFormat="false" ht="12.8" hidden="false" customHeight="false" outlineLevel="0" collapsed="false">
      <c r="A40" s="0" t="s">
        <v>587</v>
      </c>
      <c r="B40" s="0" t="s">
        <v>1</v>
      </c>
      <c r="C40" s="0" t="s">
        <v>474</v>
      </c>
      <c r="D40" s="0" t="s">
        <v>469</v>
      </c>
      <c r="E40" s="0" t="n">
        <v>46.256229</v>
      </c>
      <c r="F40" s="0" t="s">
        <v>480</v>
      </c>
      <c r="G40" s="1" t="s">
        <v>5</v>
      </c>
      <c r="H40" s="0" t="n">
        <v>27.140449</v>
      </c>
      <c r="I40" s="0" t="s">
        <v>476</v>
      </c>
      <c r="J40" s="1" t="s">
        <v>5</v>
      </c>
      <c r="K40" s="0" t="n">
        <v>17.217906</v>
      </c>
      <c r="L40" s="0" t="s">
        <v>484</v>
      </c>
      <c r="M40" s="1" t="s">
        <v>6</v>
      </c>
      <c r="N40" s="0" t="n">
        <v>66.153773</v>
      </c>
      <c r="O40" s="0" t="s">
        <v>525</v>
      </c>
      <c r="P40" s="1" t="s">
        <v>6</v>
      </c>
      <c r="Q40" s="0" t="n">
        <v>13.812416</v>
      </c>
      <c r="R40" s="0" t="s">
        <v>15</v>
      </c>
      <c r="S40" s="1" t="s">
        <v>6</v>
      </c>
      <c r="T40" s="0" t="s">
        <v>10</v>
      </c>
      <c r="U40" s="0" t="s">
        <v>468</v>
      </c>
      <c r="V40" s="0" t="s">
        <v>469</v>
      </c>
      <c r="W40" s="0" t="n">
        <v>39.181252</v>
      </c>
      <c r="X40" s="0" t="s">
        <v>470</v>
      </c>
      <c r="Y40" s="1" t="s">
        <v>5</v>
      </c>
      <c r="Z40" s="0" t="n">
        <v>24.527037</v>
      </c>
      <c r="AA40" s="0" t="s">
        <v>471</v>
      </c>
      <c r="AB40" s="1" t="s">
        <v>5</v>
      </c>
      <c r="AC40" s="0" t="n">
        <v>17.560031</v>
      </c>
      <c r="AD40" s="0" t="s">
        <v>486</v>
      </c>
      <c r="AE40" s="1" t="s">
        <v>5</v>
      </c>
      <c r="AF40" s="0" t="n">
        <v>24.636436</v>
      </c>
      <c r="AG40" s="0" t="s">
        <v>473</v>
      </c>
      <c r="AH40" s="1" t="s">
        <v>5</v>
      </c>
      <c r="AI40" s="0" t="n">
        <v>12.849327</v>
      </c>
      <c r="AJ40" s="0" t="s">
        <v>15</v>
      </c>
      <c r="AK40" s="1" t="s">
        <v>6</v>
      </c>
      <c r="AL40" s="0" t="s">
        <v>474</v>
      </c>
      <c r="AM40" s="0" t="s">
        <v>468</v>
      </c>
      <c r="AN40" s="0" t="s">
        <v>469</v>
      </c>
      <c r="AO40" s="0" t="n">
        <v>25.58135</v>
      </c>
      <c r="AP40" s="0" t="n">
        <v>1</v>
      </c>
      <c r="AQ40" s="0" t="n">
        <v>2</v>
      </c>
      <c r="AR40" s="0" t="s">
        <v>588</v>
      </c>
      <c r="AS40" s="2" t="str">
        <f aca="false">IF(AND(G40="true",J40="true",M40="true",P40="true",S40="true"),"true","false")</f>
        <v>false</v>
      </c>
      <c r="AT40" s="0" t="str">
        <f aca="false">IF(AND(Y40="true",AB40="true",AE40="true",AH40="true",AK40="true"),"true","false")</f>
        <v>false</v>
      </c>
    </row>
    <row r="41" customFormat="false" ht="24.05" hidden="false" customHeight="false" outlineLevel="0" collapsed="false">
      <c r="A41" s="0" t="s">
        <v>589</v>
      </c>
      <c r="B41" s="0" t="s">
        <v>1</v>
      </c>
      <c r="C41" s="0" t="s">
        <v>468</v>
      </c>
      <c r="D41" s="0" t="s">
        <v>469</v>
      </c>
      <c r="E41" s="0" t="n">
        <v>82.527246</v>
      </c>
      <c r="F41" s="0" t="s">
        <v>470</v>
      </c>
      <c r="G41" s="1" t="s">
        <v>5</v>
      </c>
      <c r="H41" s="0" t="n">
        <v>22.309345</v>
      </c>
      <c r="I41" s="0" t="s">
        <v>549</v>
      </c>
      <c r="J41" s="1" t="s">
        <v>6</v>
      </c>
      <c r="K41" s="0" t="n">
        <v>52.699056</v>
      </c>
      <c r="L41" s="0" t="s">
        <v>590</v>
      </c>
      <c r="M41" s="1" t="s">
        <v>6</v>
      </c>
      <c r="N41" s="0" t="n">
        <v>62.01362</v>
      </c>
      <c r="O41" s="0" t="s">
        <v>473</v>
      </c>
      <c r="P41" s="1" t="s">
        <v>5</v>
      </c>
      <c r="Q41" s="0" t="n">
        <v>14.193741</v>
      </c>
      <c r="R41" s="0" t="s">
        <v>15</v>
      </c>
      <c r="S41" s="1" t="s">
        <v>6</v>
      </c>
      <c r="T41" s="0" t="s">
        <v>10</v>
      </c>
      <c r="U41" s="0" t="s">
        <v>474</v>
      </c>
      <c r="V41" s="0" t="s">
        <v>469</v>
      </c>
      <c r="W41" s="0" t="n">
        <v>2.966151</v>
      </c>
      <c r="X41" s="0" t="s">
        <v>591</v>
      </c>
      <c r="Y41" s="1" t="s">
        <v>6</v>
      </c>
      <c r="Z41" s="0" t="n">
        <v>1.562717</v>
      </c>
      <c r="AA41" s="0" t="s">
        <v>592</v>
      </c>
      <c r="AB41" s="1" t="s">
        <v>6</v>
      </c>
      <c r="AC41" s="0" t="n">
        <v>2.432507</v>
      </c>
      <c r="AD41" s="0" t="s">
        <v>593</v>
      </c>
      <c r="AE41" s="1" t="s">
        <v>6</v>
      </c>
      <c r="AF41" s="0" t="n">
        <v>1.845584</v>
      </c>
      <c r="AG41" s="0" t="s">
        <v>83</v>
      </c>
      <c r="AH41" s="1" t="s">
        <v>6</v>
      </c>
      <c r="AI41" s="0" t="n">
        <v>3.715102</v>
      </c>
      <c r="AJ41" s="0" t="s">
        <v>9</v>
      </c>
      <c r="AK41" s="1" t="s">
        <v>5</v>
      </c>
      <c r="AL41" s="0" t="s">
        <v>468</v>
      </c>
      <c r="AM41" s="0" t="s">
        <v>474</v>
      </c>
      <c r="AN41" s="0" t="s">
        <v>469</v>
      </c>
      <c r="AO41" s="0" t="n">
        <v>9.759518</v>
      </c>
      <c r="AP41" s="0" t="n">
        <v>1</v>
      </c>
      <c r="AQ41" s="0" t="n">
        <v>1</v>
      </c>
      <c r="AR41" s="3" t="s">
        <v>594</v>
      </c>
      <c r="AS41" s="2" t="str">
        <f aca="false">IF(AND(G41="true",J41="true",M41="true",P41="true",S41="true"),"true","false")</f>
        <v>false</v>
      </c>
      <c r="AT41" s="0" t="str">
        <f aca="false">IF(AND(Y41="true",AB41="true",AE41="true",AH41="true",AK41="true"),"true","false")</f>
        <v>false</v>
      </c>
    </row>
    <row r="42" customFormat="false" ht="12.8" hidden="false" customHeight="false" outlineLevel="0" collapsed="false">
      <c r="A42" s="0" t="s">
        <v>595</v>
      </c>
      <c r="B42" s="0" t="s">
        <v>1</v>
      </c>
      <c r="C42" s="0" t="s">
        <v>474</v>
      </c>
      <c r="D42" s="0" t="s">
        <v>469</v>
      </c>
      <c r="E42" s="0" t="n">
        <v>51.195735</v>
      </c>
      <c r="F42" s="0" t="s">
        <v>480</v>
      </c>
      <c r="G42" s="1" t="s">
        <v>5</v>
      </c>
      <c r="H42" s="0" t="n">
        <v>36.920037</v>
      </c>
      <c r="I42" s="0" t="s">
        <v>476</v>
      </c>
      <c r="J42" s="1" t="s">
        <v>5</v>
      </c>
      <c r="K42" s="0" t="n">
        <v>18.354224</v>
      </c>
      <c r="L42" s="0" t="s">
        <v>477</v>
      </c>
      <c r="M42" s="1" t="s">
        <v>5</v>
      </c>
      <c r="N42" s="0" t="n">
        <v>97.065746</v>
      </c>
      <c r="O42" s="0" t="s">
        <v>478</v>
      </c>
      <c r="P42" s="1" t="s">
        <v>5</v>
      </c>
      <c r="Q42" s="0" t="n">
        <v>20.152958</v>
      </c>
      <c r="R42" s="0" t="s">
        <v>15</v>
      </c>
      <c r="S42" s="1" t="s">
        <v>6</v>
      </c>
      <c r="T42" s="0" t="s">
        <v>10</v>
      </c>
      <c r="U42" s="0" t="s">
        <v>468</v>
      </c>
      <c r="V42" s="0" t="s">
        <v>469</v>
      </c>
      <c r="W42" s="0" t="n">
        <v>56.243693</v>
      </c>
      <c r="X42" s="0" t="s">
        <v>470</v>
      </c>
      <c r="Y42" s="1" t="s">
        <v>5</v>
      </c>
      <c r="Z42" s="0" t="n">
        <v>36.417999</v>
      </c>
      <c r="AA42" s="0" t="s">
        <v>471</v>
      </c>
      <c r="AB42" s="1" t="s">
        <v>5</v>
      </c>
      <c r="AC42" s="0" t="n">
        <v>23.712133</v>
      </c>
      <c r="AD42" s="0" t="s">
        <v>486</v>
      </c>
      <c r="AE42" s="1" t="s">
        <v>5</v>
      </c>
      <c r="AF42" s="0" t="n">
        <v>25.035077</v>
      </c>
      <c r="AG42" s="0" t="s">
        <v>473</v>
      </c>
      <c r="AH42" s="1" t="s">
        <v>5</v>
      </c>
      <c r="AI42" s="0" t="n">
        <v>8.241405</v>
      </c>
      <c r="AJ42" s="0" t="s">
        <v>15</v>
      </c>
      <c r="AK42" s="1" t="s">
        <v>6</v>
      </c>
      <c r="AL42" s="0" t="s">
        <v>474</v>
      </c>
      <c r="AM42" s="0" t="s">
        <v>468</v>
      </c>
      <c r="AN42" s="0" t="s">
        <v>469</v>
      </c>
      <c r="AO42" s="0" t="n">
        <v>13.112191</v>
      </c>
      <c r="AP42" s="0" t="n">
        <v>-2</v>
      </c>
      <c r="AQ42" s="0" t="n">
        <v>2</v>
      </c>
      <c r="AS42" s="2" t="str">
        <f aca="false">IF(AND(G42="true",J42="true",M42="true",P42="true",S42="true"),"true","false")</f>
        <v>false</v>
      </c>
      <c r="AT42" s="0" t="str">
        <f aca="false">IF(AND(Y42="true",AB42="true",AE42="true",AH42="true",AK42="true"),"true","false")</f>
        <v>false</v>
      </c>
    </row>
    <row r="43" customFormat="false" ht="12.8" hidden="false" customHeight="false" outlineLevel="0" collapsed="false">
      <c r="A43" s="0" t="s">
        <v>596</v>
      </c>
      <c r="B43" s="0" t="s">
        <v>1</v>
      </c>
      <c r="C43" s="0" t="s">
        <v>468</v>
      </c>
      <c r="D43" s="0" t="s">
        <v>469</v>
      </c>
      <c r="E43" s="0" t="n">
        <v>63.375526</v>
      </c>
      <c r="F43" s="0" t="s">
        <v>494</v>
      </c>
      <c r="G43" s="1" t="s">
        <v>6</v>
      </c>
      <c r="H43" s="0" t="n">
        <v>42.086479</v>
      </c>
      <c r="I43" s="0" t="s">
        <v>485</v>
      </c>
      <c r="J43" s="1" t="s">
        <v>6</v>
      </c>
      <c r="K43" s="0" t="n">
        <v>44.566131</v>
      </c>
      <c r="L43" s="0" t="s">
        <v>486</v>
      </c>
      <c r="M43" s="1" t="s">
        <v>5</v>
      </c>
      <c r="N43" s="0" t="n">
        <v>21.632074</v>
      </c>
      <c r="O43" s="0" t="s">
        <v>473</v>
      </c>
      <c r="P43" s="1" t="s">
        <v>5</v>
      </c>
      <c r="Q43" s="0" t="n">
        <v>18.30872</v>
      </c>
      <c r="R43" s="0" t="s">
        <v>9</v>
      </c>
      <c r="S43" s="1" t="s">
        <v>6</v>
      </c>
      <c r="T43" s="0" t="s">
        <v>10</v>
      </c>
      <c r="U43" s="0" t="s">
        <v>474</v>
      </c>
      <c r="V43" s="0" t="s">
        <v>469</v>
      </c>
      <c r="W43" s="0" t="n">
        <v>43.645231</v>
      </c>
      <c r="X43" s="0" t="s">
        <v>480</v>
      </c>
      <c r="Y43" s="1" t="s">
        <v>5</v>
      </c>
      <c r="Z43" s="0" t="n">
        <v>20.886415</v>
      </c>
      <c r="AA43" s="0" t="s">
        <v>477</v>
      </c>
      <c r="AB43" s="1" t="s">
        <v>6</v>
      </c>
      <c r="AC43" s="0" t="n">
        <v>10.202791</v>
      </c>
      <c r="AD43" s="0" t="s">
        <v>501</v>
      </c>
      <c r="AE43" s="1" t="s">
        <v>6</v>
      </c>
      <c r="AF43" s="0" t="n">
        <v>42.00505</v>
      </c>
      <c r="AG43" s="0" t="s">
        <v>478</v>
      </c>
      <c r="AH43" s="1" t="s">
        <v>5</v>
      </c>
      <c r="AI43" s="0" t="n">
        <v>24.409557</v>
      </c>
      <c r="AJ43" s="0" t="s">
        <v>9</v>
      </c>
      <c r="AK43" s="1" t="s">
        <v>5</v>
      </c>
      <c r="AL43" s="0" t="s">
        <v>468</v>
      </c>
      <c r="AM43" s="0" t="s">
        <v>474</v>
      </c>
      <c r="AN43" s="0" t="s">
        <v>469</v>
      </c>
      <c r="AO43" s="0" t="n">
        <v>3.986158</v>
      </c>
      <c r="AP43" s="0" t="n">
        <v>1</v>
      </c>
      <c r="AQ43" s="0" t="n">
        <v>1</v>
      </c>
      <c r="AS43" s="2" t="str">
        <f aca="false">IF(AND(G43="true",J43="true",M43="true",P43="true",S43="true"),"true","false")</f>
        <v>false</v>
      </c>
      <c r="AT43" s="0" t="str">
        <f aca="false">IF(AND(Y43="true",AB43="true",AE43="true",AH43="true",AK43="true"),"true","false")</f>
        <v>false</v>
      </c>
    </row>
    <row r="44" customFormat="false" ht="12.8" hidden="false" customHeight="false" outlineLevel="0" collapsed="false">
      <c r="A44" s="0" t="s">
        <v>597</v>
      </c>
      <c r="B44" s="0" t="s">
        <v>1</v>
      </c>
      <c r="C44" s="0" t="s">
        <v>468</v>
      </c>
      <c r="D44" s="0" t="s">
        <v>469</v>
      </c>
      <c r="E44" s="0" t="n">
        <v>58.749085</v>
      </c>
      <c r="F44" s="0" t="s">
        <v>470</v>
      </c>
      <c r="G44" s="1" t="s">
        <v>5</v>
      </c>
      <c r="H44" s="0" t="n">
        <v>46.586954</v>
      </c>
      <c r="I44" s="0" t="s">
        <v>471</v>
      </c>
      <c r="J44" s="1" t="s">
        <v>5</v>
      </c>
      <c r="K44" s="0" t="n">
        <v>26.296073</v>
      </c>
      <c r="L44" s="0" t="s">
        <v>486</v>
      </c>
      <c r="M44" s="1" t="s">
        <v>5</v>
      </c>
      <c r="N44" s="0" t="n">
        <v>21.634226</v>
      </c>
      <c r="O44" s="0" t="s">
        <v>473</v>
      </c>
      <c r="P44" s="1" t="s">
        <v>5</v>
      </c>
      <c r="Q44" s="0" t="n">
        <v>64.760789</v>
      </c>
      <c r="R44" s="0" t="s">
        <v>9</v>
      </c>
      <c r="S44" s="1" t="s">
        <v>6</v>
      </c>
      <c r="T44" s="0" t="s">
        <v>10</v>
      </c>
      <c r="U44" s="0" t="s">
        <v>474</v>
      </c>
      <c r="V44" s="0" t="s">
        <v>469</v>
      </c>
      <c r="W44" s="0" t="n">
        <v>70.071371</v>
      </c>
      <c r="X44" s="0" t="s">
        <v>480</v>
      </c>
      <c r="Y44" s="1" t="s">
        <v>5</v>
      </c>
      <c r="Z44" s="0" t="n">
        <v>24.538295</v>
      </c>
      <c r="AA44" s="0" t="s">
        <v>476</v>
      </c>
      <c r="AB44" s="1" t="s">
        <v>5</v>
      </c>
      <c r="AC44" s="0" t="n">
        <v>13.376138</v>
      </c>
      <c r="AD44" s="0" t="s">
        <v>477</v>
      </c>
      <c r="AE44" s="1" t="s">
        <v>5</v>
      </c>
      <c r="AF44" s="0" t="n">
        <v>75.965514</v>
      </c>
      <c r="AG44" s="0" t="s">
        <v>478</v>
      </c>
      <c r="AH44" s="1" t="s">
        <v>5</v>
      </c>
      <c r="AI44" s="0" t="n">
        <v>27.647767</v>
      </c>
      <c r="AJ44" s="0" t="s">
        <v>9</v>
      </c>
      <c r="AK44" s="1" t="s">
        <v>5</v>
      </c>
      <c r="AL44" s="0" t="s">
        <v>468</v>
      </c>
      <c r="AM44" s="0" t="s">
        <v>474</v>
      </c>
      <c r="AN44" s="0" t="s">
        <v>469</v>
      </c>
      <c r="AO44" s="0" t="n">
        <v>6.395529</v>
      </c>
      <c r="AP44" s="0" t="n">
        <v>0</v>
      </c>
      <c r="AQ44" s="0" t="n">
        <v>1</v>
      </c>
      <c r="AS44" s="2" t="str">
        <f aca="false">IF(AND(G44="true",J44="true",M44="true",P44="true",S44="true"),"true","false")</f>
        <v>false</v>
      </c>
      <c r="AT44" s="0" t="str">
        <f aca="false">IF(AND(Y44="true",AB44="true",AE44="true",AH44="true",AK44="true"),"true","false")</f>
        <v>true</v>
      </c>
    </row>
    <row r="45" customFormat="false" ht="12.8" hidden="false" customHeight="false" outlineLevel="0" collapsed="false">
      <c r="A45" s="0" t="s">
        <v>598</v>
      </c>
      <c r="B45" s="0" t="s">
        <v>1</v>
      </c>
      <c r="C45" s="0" t="s">
        <v>474</v>
      </c>
      <c r="D45" s="0" t="s">
        <v>469</v>
      </c>
      <c r="E45" s="0" t="n">
        <v>62.863526</v>
      </c>
      <c r="F45" s="0" t="s">
        <v>480</v>
      </c>
      <c r="G45" s="1" t="s">
        <v>5</v>
      </c>
      <c r="H45" s="0" t="n">
        <v>43.375134</v>
      </c>
      <c r="I45" s="0" t="s">
        <v>476</v>
      </c>
      <c r="J45" s="1" t="s">
        <v>5</v>
      </c>
      <c r="K45" s="0" t="n">
        <v>25.091147</v>
      </c>
      <c r="L45" s="0" t="s">
        <v>477</v>
      </c>
      <c r="M45" s="1" t="s">
        <v>5</v>
      </c>
      <c r="N45" s="0" t="n">
        <v>95.07876</v>
      </c>
      <c r="O45" s="0" t="s">
        <v>478</v>
      </c>
      <c r="P45" s="1" t="s">
        <v>5</v>
      </c>
      <c r="Q45" s="0" t="n">
        <v>10.558453</v>
      </c>
      <c r="R45" s="0" t="s">
        <v>51</v>
      </c>
      <c r="S45" s="1" t="s">
        <v>5</v>
      </c>
      <c r="T45" s="0" t="s">
        <v>10</v>
      </c>
      <c r="U45" s="0" t="s">
        <v>468</v>
      </c>
      <c r="V45" s="0" t="s">
        <v>469</v>
      </c>
      <c r="W45" s="0" t="n">
        <v>46.938212</v>
      </c>
      <c r="X45" s="0" t="s">
        <v>470</v>
      </c>
      <c r="Y45" s="1" t="s">
        <v>5</v>
      </c>
      <c r="Z45" s="0" t="n">
        <v>48.672509</v>
      </c>
      <c r="AA45" s="0" t="s">
        <v>471</v>
      </c>
      <c r="AB45" s="1" t="s">
        <v>5</v>
      </c>
      <c r="AC45" s="0" t="n">
        <v>18.353622</v>
      </c>
      <c r="AD45" s="0" t="s">
        <v>486</v>
      </c>
      <c r="AE45" s="1" t="s">
        <v>5</v>
      </c>
      <c r="AF45" s="0" t="n">
        <v>15.609745</v>
      </c>
      <c r="AG45" s="0" t="s">
        <v>473</v>
      </c>
      <c r="AH45" s="1" t="s">
        <v>5</v>
      </c>
      <c r="AI45" s="0" t="n">
        <v>12.728147</v>
      </c>
      <c r="AJ45" s="0" t="s">
        <v>9</v>
      </c>
      <c r="AK45" s="1" t="s">
        <v>5</v>
      </c>
      <c r="AL45" s="0" t="s">
        <v>474</v>
      </c>
      <c r="AM45" s="0" t="s">
        <v>468</v>
      </c>
      <c r="AN45" s="0" t="s">
        <v>469</v>
      </c>
      <c r="AO45" s="0" t="n">
        <v>5.616511</v>
      </c>
      <c r="AP45" s="0" t="n">
        <v>-1</v>
      </c>
      <c r="AQ45" s="0" t="n">
        <v>-1</v>
      </c>
      <c r="AS45" s="2" t="str">
        <f aca="false">IF(AND(G45="true",J45="true",M45="true",P45="true",S45="true"),"true","false")</f>
        <v>true</v>
      </c>
      <c r="AT45" s="0" t="str">
        <f aca="false">IF(AND(Y45="true",AB45="true",AE45="true",AH45="true",AK45="true"),"true","false")</f>
        <v>true</v>
      </c>
    </row>
    <row r="46" customFormat="false" ht="12.8" hidden="false" customHeight="false" outlineLevel="0" collapsed="false">
      <c r="A46" s="0" t="s">
        <v>599</v>
      </c>
      <c r="B46" s="0" t="s">
        <v>1</v>
      </c>
      <c r="C46" s="0" t="s">
        <v>474</v>
      </c>
      <c r="D46" s="0" t="s">
        <v>469</v>
      </c>
      <c r="E46" s="0" t="n">
        <v>96.108957</v>
      </c>
      <c r="F46" s="0" t="s">
        <v>480</v>
      </c>
      <c r="G46" s="1" t="s">
        <v>5</v>
      </c>
      <c r="H46" s="0" t="n">
        <v>52.119944</v>
      </c>
      <c r="I46" s="0" t="s">
        <v>476</v>
      </c>
      <c r="J46" s="1" t="s">
        <v>5</v>
      </c>
      <c r="K46" s="0" t="n">
        <v>33.438124</v>
      </c>
      <c r="L46" s="0" t="s">
        <v>477</v>
      </c>
      <c r="M46" s="1" t="s">
        <v>5</v>
      </c>
      <c r="N46" s="0" t="n">
        <v>140.90373</v>
      </c>
      <c r="O46" s="0" t="s">
        <v>478</v>
      </c>
      <c r="P46" s="1" t="s">
        <v>5</v>
      </c>
      <c r="Q46" s="0" t="n">
        <v>10.929742</v>
      </c>
      <c r="R46" s="0" t="s">
        <v>9</v>
      </c>
      <c r="S46" s="1" t="s">
        <v>6</v>
      </c>
      <c r="T46" s="0" t="s">
        <v>10</v>
      </c>
      <c r="U46" s="0" t="s">
        <v>468</v>
      </c>
      <c r="V46" s="0" t="s">
        <v>469</v>
      </c>
      <c r="W46" s="0" t="n">
        <v>68.736504</v>
      </c>
      <c r="X46" s="0" t="s">
        <v>470</v>
      </c>
      <c r="Y46" s="1" t="s">
        <v>5</v>
      </c>
      <c r="Z46" s="0" t="n">
        <v>65.593174</v>
      </c>
      <c r="AA46" s="0" t="s">
        <v>471</v>
      </c>
      <c r="AB46" s="1" t="s">
        <v>5</v>
      </c>
      <c r="AC46" s="0" t="n">
        <v>18.381696</v>
      </c>
      <c r="AD46" s="0" t="s">
        <v>486</v>
      </c>
      <c r="AE46" s="1" t="s">
        <v>5</v>
      </c>
      <c r="AF46" s="0" t="n">
        <v>22.46007</v>
      </c>
      <c r="AG46" s="0" t="s">
        <v>473</v>
      </c>
      <c r="AH46" s="1" t="s">
        <v>5</v>
      </c>
      <c r="AI46" s="0" t="n">
        <v>10.54217</v>
      </c>
      <c r="AJ46" s="0" t="s">
        <v>9</v>
      </c>
      <c r="AK46" s="1" t="s">
        <v>5</v>
      </c>
      <c r="AL46" s="0" t="s">
        <v>474</v>
      </c>
      <c r="AM46" s="0" t="s">
        <v>468</v>
      </c>
      <c r="AN46" s="0" t="s">
        <v>469</v>
      </c>
      <c r="AO46" s="0" t="n">
        <v>6.123013</v>
      </c>
      <c r="AP46" s="0" t="n">
        <v>-2</v>
      </c>
      <c r="AQ46" s="0" t="n">
        <v>1</v>
      </c>
      <c r="AS46" s="2" t="str">
        <f aca="false">IF(AND(G46="true",J46="true",M46="true",P46="true",S46="true"),"true","false")</f>
        <v>false</v>
      </c>
      <c r="AT46" s="0" t="str">
        <f aca="false">IF(AND(Y46="true",AB46="true",AE46="true",AH46="true",AK46="true"),"true","false")</f>
        <v>true</v>
      </c>
    </row>
    <row r="47" customFormat="false" ht="12.8" hidden="false" customHeight="false" outlineLevel="0" collapsed="false">
      <c r="A47" s="0" t="s">
        <v>600</v>
      </c>
      <c r="B47" s="0" t="s">
        <v>1</v>
      </c>
      <c r="C47" s="0" t="s">
        <v>474</v>
      </c>
      <c r="D47" s="0" t="s">
        <v>469</v>
      </c>
      <c r="E47" s="0" t="n">
        <v>64.263328</v>
      </c>
      <c r="F47" s="0" t="s">
        <v>601</v>
      </c>
      <c r="G47" s="1" t="s">
        <v>6</v>
      </c>
      <c r="H47" s="0" t="n">
        <v>33.937095</v>
      </c>
      <c r="I47" s="0" t="s">
        <v>476</v>
      </c>
      <c r="J47" s="1" t="s">
        <v>5</v>
      </c>
      <c r="K47" s="0" t="n">
        <v>26.256401</v>
      </c>
      <c r="L47" s="0" t="s">
        <v>477</v>
      </c>
      <c r="M47" s="1" t="s">
        <v>5</v>
      </c>
      <c r="N47" s="0" t="n">
        <v>65.505898</v>
      </c>
      <c r="O47" s="0" t="s">
        <v>525</v>
      </c>
      <c r="P47" s="1" t="s">
        <v>6</v>
      </c>
      <c r="Q47" s="0" t="n">
        <v>18.840348</v>
      </c>
      <c r="R47" s="0" t="s">
        <v>9</v>
      </c>
      <c r="S47" s="1" t="s">
        <v>6</v>
      </c>
      <c r="T47" s="0" t="s">
        <v>10</v>
      </c>
      <c r="U47" s="0" t="s">
        <v>468</v>
      </c>
      <c r="V47" s="0" t="s">
        <v>469</v>
      </c>
      <c r="W47" s="0" t="n">
        <v>43.739154</v>
      </c>
      <c r="X47" s="0" t="s">
        <v>470</v>
      </c>
      <c r="Y47" s="1" t="s">
        <v>5</v>
      </c>
      <c r="Z47" s="0" t="n">
        <v>25.391723</v>
      </c>
      <c r="AA47" s="0" t="s">
        <v>485</v>
      </c>
      <c r="AB47" s="1" t="s">
        <v>6</v>
      </c>
      <c r="AC47" s="0" t="n">
        <v>22.334654</v>
      </c>
      <c r="AD47" s="0" t="s">
        <v>486</v>
      </c>
      <c r="AE47" s="1" t="s">
        <v>5</v>
      </c>
      <c r="AF47" s="0" t="n">
        <v>18.496911</v>
      </c>
      <c r="AG47" s="0" t="s">
        <v>473</v>
      </c>
      <c r="AH47" s="1" t="s">
        <v>5</v>
      </c>
      <c r="AI47" s="0" t="n">
        <v>6.935755</v>
      </c>
      <c r="AJ47" s="0" t="s">
        <v>9</v>
      </c>
      <c r="AK47" s="1" t="s">
        <v>5</v>
      </c>
      <c r="AL47" s="0" t="s">
        <v>474</v>
      </c>
      <c r="AM47" s="0" t="s">
        <v>468</v>
      </c>
      <c r="AN47" s="0" t="s">
        <v>469</v>
      </c>
      <c r="AO47" s="0" t="n">
        <v>7.166301</v>
      </c>
      <c r="AP47" s="0" t="n">
        <v>-1</v>
      </c>
      <c r="AQ47" s="0" t="n">
        <v>1</v>
      </c>
      <c r="AS47" s="2" t="str">
        <f aca="false">IF(AND(G47="true",J47="true",M47="true",P47="true",S47="true"),"true","false")</f>
        <v>false</v>
      </c>
      <c r="AT47" s="0" t="str">
        <f aca="false">IF(AND(Y47="true",AB47="true",AE47="true",AH47="true",AK47="true"),"true","false")</f>
        <v>false</v>
      </c>
    </row>
    <row r="48" customFormat="false" ht="12.8" hidden="false" customHeight="false" outlineLevel="0" collapsed="false">
      <c r="A48" s="0" t="s">
        <v>602</v>
      </c>
      <c r="B48" s="0" t="s">
        <v>1</v>
      </c>
      <c r="C48" s="0" t="s">
        <v>468</v>
      </c>
      <c r="D48" s="0" t="s">
        <v>469</v>
      </c>
      <c r="E48" s="0" t="n">
        <v>50.335029</v>
      </c>
      <c r="F48" s="0" t="s">
        <v>470</v>
      </c>
      <c r="G48" s="1" t="s">
        <v>5</v>
      </c>
      <c r="H48" s="0" t="n">
        <v>33.035218</v>
      </c>
      <c r="I48" s="0" t="s">
        <v>471</v>
      </c>
      <c r="J48" s="1" t="s">
        <v>5</v>
      </c>
      <c r="K48" s="0" t="n">
        <v>20.228749</v>
      </c>
      <c r="L48" s="0" t="s">
        <v>486</v>
      </c>
      <c r="M48" s="1" t="s">
        <v>5</v>
      </c>
      <c r="N48" s="0" t="n">
        <v>17.416668</v>
      </c>
      <c r="O48" s="0" t="s">
        <v>473</v>
      </c>
      <c r="P48" s="1" t="s">
        <v>5</v>
      </c>
      <c r="Q48" s="0" t="n">
        <v>15.751083</v>
      </c>
      <c r="R48" s="0" t="s">
        <v>9</v>
      </c>
      <c r="S48" s="1" t="s">
        <v>6</v>
      </c>
      <c r="T48" s="0" t="s">
        <v>10</v>
      </c>
      <c r="U48" s="0" t="s">
        <v>474</v>
      </c>
      <c r="V48" s="0" t="s">
        <v>469</v>
      </c>
      <c r="W48" s="0" t="n">
        <v>40.201484</v>
      </c>
      <c r="X48" s="0" t="s">
        <v>480</v>
      </c>
      <c r="Y48" s="1" t="s">
        <v>5</v>
      </c>
      <c r="Z48" s="0" t="n">
        <v>21.350166</v>
      </c>
      <c r="AA48" s="0" t="s">
        <v>476</v>
      </c>
      <c r="AB48" s="1" t="s">
        <v>5</v>
      </c>
      <c r="AC48" s="0" t="n">
        <v>12.3051</v>
      </c>
      <c r="AD48" s="0" t="s">
        <v>502</v>
      </c>
      <c r="AE48" s="1" t="s">
        <v>6</v>
      </c>
      <c r="AF48" s="0" t="n">
        <v>36.235769</v>
      </c>
      <c r="AG48" s="0" t="s">
        <v>478</v>
      </c>
      <c r="AH48" s="1" t="s">
        <v>5</v>
      </c>
      <c r="AI48" s="0" t="n">
        <v>42.806094</v>
      </c>
      <c r="AJ48" s="0" t="s">
        <v>9</v>
      </c>
      <c r="AK48" s="1" t="s">
        <v>5</v>
      </c>
      <c r="AL48" s="0" t="s">
        <v>468</v>
      </c>
      <c r="AM48" s="0" t="s">
        <v>474</v>
      </c>
      <c r="AN48" s="0" t="s">
        <v>469</v>
      </c>
      <c r="AO48" s="0" t="n">
        <v>7.81075</v>
      </c>
      <c r="AP48" s="0" t="n">
        <v>0</v>
      </c>
      <c r="AQ48" s="0" t="n">
        <v>-1</v>
      </c>
      <c r="AS48" s="2" t="str">
        <f aca="false">IF(AND(G48="true",J48="true",M48="true",P48="true",S48="true"),"true","false")</f>
        <v>false</v>
      </c>
      <c r="AT48" s="0" t="str">
        <f aca="false">IF(AND(Y48="true",AB48="true",AE48="true",AH48="true",AK48="true"),"true","false")</f>
        <v>false</v>
      </c>
    </row>
    <row r="49" customFormat="false" ht="12.8" hidden="false" customHeight="false" outlineLevel="0" collapsed="false">
      <c r="A49" s="0" t="s">
        <v>603</v>
      </c>
      <c r="B49" s="0" t="s">
        <v>1</v>
      </c>
      <c r="C49" s="0" t="s">
        <v>474</v>
      </c>
      <c r="D49" s="0" t="s">
        <v>469</v>
      </c>
      <c r="E49" s="0" t="n">
        <v>64.009765</v>
      </c>
      <c r="F49" s="0" t="s">
        <v>604</v>
      </c>
      <c r="G49" s="1" t="s">
        <v>6</v>
      </c>
      <c r="H49" s="0" t="n">
        <v>23.254477</v>
      </c>
      <c r="I49" s="0" t="s">
        <v>481</v>
      </c>
      <c r="J49" s="1" t="s">
        <v>6</v>
      </c>
      <c r="K49" s="0" t="n">
        <v>23.375414</v>
      </c>
      <c r="L49" s="0" t="s">
        <v>477</v>
      </c>
      <c r="M49" s="1" t="s">
        <v>5</v>
      </c>
      <c r="N49" s="0" t="n">
        <v>67.022496</v>
      </c>
      <c r="O49" s="0" t="s">
        <v>605</v>
      </c>
      <c r="P49" s="1" t="s">
        <v>6</v>
      </c>
      <c r="Q49" s="0" t="n">
        <v>10.40645</v>
      </c>
      <c r="R49" s="0" t="s">
        <v>15</v>
      </c>
      <c r="S49" s="1" t="s">
        <v>6</v>
      </c>
      <c r="T49" s="0" t="s">
        <v>10</v>
      </c>
      <c r="U49" s="0" t="s">
        <v>468</v>
      </c>
      <c r="V49" s="0" t="s">
        <v>469</v>
      </c>
      <c r="W49" s="0" t="n">
        <v>48.428556</v>
      </c>
      <c r="X49" s="0" t="s">
        <v>470</v>
      </c>
      <c r="Y49" s="1" t="s">
        <v>5</v>
      </c>
      <c r="Z49" s="0" t="n">
        <v>16.178578</v>
      </c>
      <c r="AA49" s="0" t="s">
        <v>486</v>
      </c>
      <c r="AB49" s="1" t="s">
        <v>6</v>
      </c>
      <c r="AC49" s="0" t="n">
        <v>41.685502</v>
      </c>
      <c r="AD49" s="0" t="s">
        <v>471</v>
      </c>
      <c r="AE49" s="1" t="s">
        <v>6</v>
      </c>
      <c r="AF49" s="0" t="n">
        <v>22.328419</v>
      </c>
      <c r="AG49" s="0" t="s">
        <v>473</v>
      </c>
      <c r="AH49" s="1" t="s">
        <v>5</v>
      </c>
      <c r="AI49" s="0" t="n">
        <v>30.524969</v>
      </c>
      <c r="AJ49" s="0" t="s">
        <v>15</v>
      </c>
      <c r="AK49" s="1" t="s">
        <v>6</v>
      </c>
      <c r="AL49" s="0" t="s">
        <v>474</v>
      </c>
      <c r="AM49" s="0" t="s">
        <v>468</v>
      </c>
      <c r="AN49" s="0" t="s">
        <v>469</v>
      </c>
      <c r="AO49" s="0" t="n">
        <v>6.347551</v>
      </c>
      <c r="AP49" s="0" t="n">
        <v>-2</v>
      </c>
      <c r="AQ49" s="0" t="n">
        <v>1</v>
      </c>
      <c r="AS49" s="2" t="str">
        <f aca="false">IF(AND(G49="true",J49="true",M49="true",P49="true",S49="true"),"true","false")</f>
        <v>false</v>
      </c>
      <c r="AT49" s="0" t="str">
        <f aca="false">IF(AND(Y49="true",AB49="true",AE49="true",AH49="true",AK49="true"),"true","false")</f>
        <v>false</v>
      </c>
    </row>
    <row r="50" customFormat="false" ht="12.8" hidden="false" customHeight="false" outlineLevel="0" collapsed="false">
      <c r="A50" s="0" t="s">
        <v>606</v>
      </c>
      <c r="B50" s="0" t="s">
        <v>1</v>
      </c>
      <c r="C50" s="0" t="s">
        <v>468</v>
      </c>
      <c r="D50" s="0" t="s">
        <v>469</v>
      </c>
      <c r="E50" s="0" t="n">
        <v>51.436177</v>
      </c>
      <c r="F50" s="0" t="s">
        <v>470</v>
      </c>
      <c r="G50" s="1" t="s">
        <v>5</v>
      </c>
      <c r="H50" s="0" t="n">
        <v>50.373991</v>
      </c>
      <c r="I50" s="0" t="s">
        <v>471</v>
      </c>
      <c r="J50" s="1" t="s">
        <v>5</v>
      </c>
      <c r="K50" s="0" t="n">
        <v>18.391297</v>
      </c>
      <c r="L50" s="0" t="s">
        <v>472</v>
      </c>
      <c r="M50" s="1" t="s">
        <v>6</v>
      </c>
      <c r="N50" s="0" t="n">
        <v>13.607951</v>
      </c>
      <c r="O50" s="0" t="s">
        <v>473</v>
      </c>
      <c r="P50" s="1" t="s">
        <v>5</v>
      </c>
      <c r="Q50" s="0" t="n">
        <v>10.585687</v>
      </c>
      <c r="R50" s="0" t="s">
        <v>15</v>
      </c>
      <c r="S50" s="1" t="s">
        <v>6</v>
      </c>
      <c r="T50" s="0" t="s">
        <v>10</v>
      </c>
      <c r="U50" s="0" t="s">
        <v>474</v>
      </c>
      <c r="V50" s="0" t="s">
        <v>469</v>
      </c>
      <c r="W50" s="0" t="n">
        <v>4.836789</v>
      </c>
      <c r="Y50" s="1" t="s">
        <v>6</v>
      </c>
      <c r="Z50" s="0" t="n">
        <v>0.734854</v>
      </c>
      <c r="AB50" s="1" t="s">
        <v>6</v>
      </c>
      <c r="AC50" s="0" t="n">
        <v>0.267948</v>
      </c>
      <c r="AE50" s="1" t="s">
        <v>6</v>
      </c>
      <c r="AF50" s="0" t="n">
        <v>1.018495</v>
      </c>
      <c r="AH50" s="1" t="s">
        <v>6</v>
      </c>
      <c r="AI50" s="0" t="n">
        <v>0.794969</v>
      </c>
      <c r="AK50" s="1" t="s">
        <v>6</v>
      </c>
      <c r="AL50" s="0" t="s">
        <v>468</v>
      </c>
      <c r="AM50" s="0" t="s">
        <v>474</v>
      </c>
      <c r="AN50" s="0" t="s">
        <v>469</v>
      </c>
      <c r="AO50" s="0" t="n">
        <v>55.894769</v>
      </c>
      <c r="AP50" s="0" t="n">
        <v>1</v>
      </c>
      <c r="AQ50" s="0" t="n">
        <v>1</v>
      </c>
      <c r="AS50" s="2" t="str">
        <f aca="false">IF(AND(G50="true",J50="true",M50="true",P50="true",S50="true"),"true","false")</f>
        <v>false</v>
      </c>
      <c r="AT50" s="0" t="str">
        <f aca="false">IF(AND(Y50="true",AB50="true",AE50="true",AH50="true",AK50="true"),"true","false")</f>
        <v>false</v>
      </c>
    </row>
    <row r="51" customFormat="false" ht="12.8" hidden="false" customHeight="false" outlineLevel="0" collapsed="false">
      <c r="A51" s="0" t="s">
        <v>607</v>
      </c>
      <c r="B51" s="0" t="s">
        <v>1</v>
      </c>
      <c r="C51" s="0" t="s">
        <v>474</v>
      </c>
      <c r="D51" s="0" t="s">
        <v>469</v>
      </c>
      <c r="E51" s="0" t="n">
        <v>48.305997</v>
      </c>
      <c r="F51" s="0" t="s">
        <v>608</v>
      </c>
      <c r="G51" s="1" t="s">
        <v>6</v>
      </c>
      <c r="H51" s="0" t="n">
        <v>14.695975</v>
      </c>
      <c r="I51" s="0" t="s">
        <v>609</v>
      </c>
      <c r="J51" s="1" t="s">
        <v>6</v>
      </c>
      <c r="K51" s="0" t="n">
        <v>13.262781</v>
      </c>
      <c r="L51" s="0" t="s">
        <v>610</v>
      </c>
      <c r="M51" s="1" t="s">
        <v>6</v>
      </c>
      <c r="N51" s="0" t="n">
        <v>27.24115</v>
      </c>
      <c r="O51" s="0" t="s">
        <v>611</v>
      </c>
      <c r="P51" s="1" t="s">
        <v>6</v>
      </c>
      <c r="Q51" s="0" t="n">
        <v>11.280596</v>
      </c>
      <c r="R51" s="0" t="s">
        <v>51</v>
      </c>
      <c r="S51" s="1" t="s">
        <v>5</v>
      </c>
      <c r="T51" s="0" t="s">
        <v>10</v>
      </c>
      <c r="U51" s="0" t="s">
        <v>468</v>
      </c>
      <c r="V51" s="0" t="s">
        <v>469</v>
      </c>
      <c r="W51" s="0" t="n">
        <v>39.328967</v>
      </c>
      <c r="X51" s="0" t="s">
        <v>470</v>
      </c>
      <c r="Y51" s="1" t="s">
        <v>5</v>
      </c>
      <c r="Z51" s="0" t="n">
        <v>26.446305</v>
      </c>
      <c r="AA51" s="0" t="s">
        <v>485</v>
      </c>
      <c r="AB51" s="1" t="s">
        <v>6</v>
      </c>
      <c r="AC51" s="0" t="n">
        <v>14.409406</v>
      </c>
      <c r="AD51" s="0" t="s">
        <v>537</v>
      </c>
      <c r="AE51" s="1" t="s">
        <v>6</v>
      </c>
      <c r="AF51" s="0" t="n">
        <v>34.444446</v>
      </c>
      <c r="AG51" s="0" t="s">
        <v>473</v>
      </c>
      <c r="AH51" s="1" t="s">
        <v>5</v>
      </c>
      <c r="AI51" s="0" t="n">
        <v>17.111439</v>
      </c>
      <c r="AJ51" s="0" t="s">
        <v>9</v>
      </c>
      <c r="AK51" s="1" t="s">
        <v>5</v>
      </c>
      <c r="AL51" s="0" t="s">
        <v>474</v>
      </c>
      <c r="AM51" s="0" t="s">
        <v>468</v>
      </c>
      <c r="AN51" s="0" t="s">
        <v>469</v>
      </c>
      <c r="AO51" s="0" t="n">
        <v>64.065129</v>
      </c>
      <c r="AP51" s="0" t="n">
        <v>-2</v>
      </c>
      <c r="AQ51" s="0" t="n">
        <v>1</v>
      </c>
      <c r="AR51" s="0" t="s">
        <v>612</v>
      </c>
      <c r="AS51" s="2" t="str">
        <f aca="false">IF(AND(G51="true",J51="true",M51="true",P51="true",S51="true"),"true","false")</f>
        <v>false</v>
      </c>
      <c r="AT51" s="0" t="str">
        <f aca="false">IF(AND(Y51="true",AB51="true",AE51="true",AH51="true",AK51="true"),"true","false")</f>
        <v>false</v>
      </c>
    </row>
    <row r="52" customFormat="false" ht="12.8" hidden="false" customHeight="false" outlineLevel="0" collapsed="false">
      <c r="A52" s="0" t="s">
        <v>613</v>
      </c>
      <c r="B52" s="0" t="s">
        <v>1</v>
      </c>
      <c r="C52" s="0" t="s">
        <v>474</v>
      </c>
      <c r="D52" s="0" t="s">
        <v>469</v>
      </c>
      <c r="E52" s="0" t="n">
        <v>106.46491</v>
      </c>
      <c r="F52" s="0" t="s">
        <v>488</v>
      </c>
      <c r="G52" s="1" t="s">
        <v>6</v>
      </c>
      <c r="H52" s="0" t="n">
        <v>44.190577</v>
      </c>
      <c r="I52" s="0" t="s">
        <v>481</v>
      </c>
      <c r="J52" s="1" t="s">
        <v>6</v>
      </c>
      <c r="K52" s="0" t="n">
        <v>21.559225</v>
      </c>
      <c r="L52" s="0" t="s">
        <v>477</v>
      </c>
      <c r="M52" s="1" t="s">
        <v>5</v>
      </c>
      <c r="N52" s="0" t="n">
        <v>111.280524</v>
      </c>
      <c r="O52" s="0" t="s">
        <v>525</v>
      </c>
      <c r="P52" s="1" t="s">
        <v>6</v>
      </c>
      <c r="Q52" s="0" t="n">
        <v>6.492364</v>
      </c>
      <c r="R52" s="0" t="s">
        <v>51</v>
      </c>
      <c r="S52" s="1" t="s">
        <v>5</v>
      </c>
      <c r="T52" s="0" t="s">
        <v>10</v>
      </c>
      <c r="U52" s="0" t="s">
        <v>468</v>
      </c>
      <c r="V52" s="0" t="s">
        <v>469</v>
      </c>
      <c r="W52" s="0" t="n">
        <v>50.490079</v>
      </c>
      <c r="X52" s="0" t="s">
        <v>470</v>
      </c>
      <c r="Y52" s="1" t="s">
        <v>5</v>
      </c>
      <c r="Z52" s="0" t="n">
        <v>34.752125</v>
      </c>
      <c r="AA52" s="0" t="s">
        <v>485</v>
      </c>
      <c r="AB52" s="1" t="s">
        <v>6</v>
      </c>
      <c r="AC52" s="0" t="n">
        <v>12.435876</v>
      </c>
      <c r="AD52" s="0" t="s">
        <v>537</v>
      </c>
      <c r="AE52" s="1" t="s">
        <v>6</v>
      </c>
      <c r="AF52" s="0" t="n">
        <v>22.678766</v>
      </c>
      <c r="AG52" s="0" t="s">
        <v>579</v>
      </c>
      <c r="AH52" s="1" t="s">
        <v>6</v>
      </c>
      <c r="AI52" s="0" t="n">
        <v>8.058731</v>
      </c>
      <c r="AJ52" s="0" t="s">
        <v>9</v>
      </c>
      <c r="AK52" s="1" t="s">
        <v>5</v>
      </c>
      <c r="AL52" s="0" t="s">
        <v>474</v>
      </c>
      <c r="AM52" s="0" t="s">
        <v>468</v>
      </c>
      <c r="AN52" s="0" t="s">
        <v>469</v>
      </c>
      <c r="AO52" s="0" t="n">
        <v>8.612564</v>
      </c>
      <c r="AP52" s="0" t="n">
        <v>-2</v>
      </c>
      <c r="AQ52" s="0" t="n">
        <v>2</v>
      </c>
      <c r="AS52" s="2" t="str">
        <f aca="false">IF(AND(G52="true",J52="true",M52="true",P52="true",S52="true"),"true","false")</f>
        <v>false</v>
      </c>
      <c r="AT52" s="0" t="str">
        <f aca="false">IF(AND(Y52="true",AB52="true",AE52="true",AH52="true",AK52="true"),"true","false")</f>
        <v>false</v>
      </c>
    </row>
    <row r="53" customFormat="false" ht="12.8" hidden="false" customHeight="false" outlineLevel="0" collapsed="false">
      <c r="A53" s="0" t="s">
        <v>614</v>
      </c>
      <c r="B53" s="0" t="s">
        <v>1</v>
      </c>
      <c r="C53" s="0" t="s">
        <v>474</v>
      </c>
      <c r="D53" s="0" t="s">
        <v>469</v>
      </c>
      <c r="E53" s="0" t="n">
        <v>87.898768</v>
      </c>
      <c r="F53" s="0" t="s">
        <v>480</v>
      </c>
      <c r="G53" s="1" t="s">
        <v>5</v>
      </c>
      <c r="H53" s="0" t="n">
        <v>28.205719</v>
      </c>
      <c r="I53" s="0" t="s">
        <v>476</v>
      </c>
      <c r="J53" s="1" t="s">
        <v>5</v>
      </c>
      <c r="K53" s="0" t="n">
        <v>29.361321</v>
      </c>
      <c r="L53" s="0" t="s">
        <v>477</v>
      </c>
      <c r="M53" s="1" t="s">
        <v>5</v>
      </c>
      <c r="N53" s="0" t="n">
        <v>81.812133</v>
      </c>
      <c r="O53" s="0" t="s">
        <v>482</v>
      </c>
      <c r="P53" s="1" t="s">
        <v>6</v>
      </c>
      <c r="Q53" s="0" t="n">
        <v>16.490219</v>
      </c>
      <c r="R53" s="0" t="s">
        <v>9</v>
      </c>
      <c r="S53" s="1" t="s">
        <v>6</v>
      </c>
      <c r="T53" s="0" t="s">
        <v>10</v>
      </c>
      <c r="U53" s="0" t="s">
        <v>468</v>
      </c>
      <c r="V53" s="0" t="s">
        <v>469</v>
      </c>
      <c r="W53" s="0" t="n">
        <v>75.971155</v>
      </c>
      <c r="X53" s="0" t="s">
        <v>615</v>
      </c>
      <c r="Y53" s="1" t="s">
        <v>6</v>
      </c>
      <c r="Z53" s="0" t="n">
        <v>43.357277</v>
      </c>
      <c r="AA53" s="0" t="s">
        <v>494</v>
      </c>
      <c r="AB53" s="1" t="s">
        <v>6</v>
      </c>
      <c r="AC53" s="0" t="n">
        <v>11.249722</v>
      </c>
      <c r="AD53" s="0" t="s">
        <v>537</v>
      </c>
      <c r="AE53" s="1" t="s">
        <v>6</v>
      </c>
      <c r="AF53" s="0" t="n">
        <v>62.534232</v>
      </c>
      <c r="AG53" s="0" t="s">
        <v>473</v>
      </c>
      <c r="AH53" s="1" t="s">
        <v>5</v>
      </c>
      <c r="AI53" s="0" t="n">
        <v>7.10589</v>
      </c>
      <c r="AJ53" s="0" t="s">
        <v>9</v>
      </c>
      <c r="AK53" s="1" t="s">
        <v>5</v>
      </c>
      <c r="AL53" s="0" t="s">
        <v>474</v>
      </c>
      <c r="AM53" s="0" t="s">
        <v>468</v>
      </c>
      <c r="AN53" s="0" t="s">
        <v>469</v>
      </c>
      <c r="AO53" s="0" t="n">
        <v>7.549608</v>
      </c>
      <c r="AP53" s="0" t="n">
        <v>0</v>
      </c>
      <c r="AQ53" s="0" t="n">
        <v>0</v>
      </c>
      <c r="AS53" s="2" t="str">
        <f aca="false">IF(AND(G53="true",J53="true",M53="true",P53="true",S53="true"),"true","false")</f>
        <v>false</v>
      </c>
      <c r="AT53" s="0" t="str">
        <f aca="false">IF(AND(Y53="true",AB53="true",AE53="true",AH53="true",AK53="true"),"true","false")</f>
        <v>false</v>
      </c>
    </row>
    <row r="54" customFormat="false" ht="12.8" hidden="false" customHeight="false" outlineLevel="0" collapsed="false">
      <c r="A54" s="0" t="s">
        <v>616</v>
      </c>
      <c r="B54" s="0" t="s">
        <v>1</v>
      </c>
      <c r="C54" s="0" t="s">
        <v>474</v>
      </c>
      <c r="D54" s="0" t="s">
        <v>469</v>
      </c>
      <c r="E54" s="0" t="n">
        <v>57.499325</v>
      </c>
      <c r="F54" s="0" t="s">
        <v>480</v>
      </c>
      <c r="G54" s="1" t="s">
        <v>5</v>
      </c>
      <c r="H54" s="0" t="n">
        <v>31.76468</v>
      </c>
      <c r="I54" s="0" t="s">
        <v>476</v>
      </c>
      <c r="J54" s="1" t="s">
        <v>5</v>
      </c>
      <c r="K54" s="0" t="n">
        <v>16.519022</v>
      </c>
      <c r="L54" s="0" t="s">
        <v>484</v>
      </c>
      <c r="M54" s="1" t="s">
        <v>6</v>
      </c>
      <c r="N54" s="0" t="n">
        <v>41.737132</v>
      </c>
      <c r="O54" s="0" t="s">
        <v>525</v>
      </c>
      <c r="P54" s="1" t="s">
        <v>6</v>
      </c>
      <c r="Q54" s="0" t="n">
        <v>8.554834</v>
      </c>
      <c r="R54" s="0" t="s">
        <v>15</v>
      </c>
      <c r="S54" s="1" t="s">
        <v>6</v>
      </c>
      <c r="T54" s="0" t="s">
        <v>10</v>
      </c>
      <c r="U54" s="0" t="s">
        <v>468</v>
      </c>
      <c r="V54" s="0" t="s">
        <v>469</v>
      </c>
      <c r="W54" s="0" t="n">
        <v>45.827019</v>
      </c>
      <c r="X54" s="0" t="s">
        <v>470</v>
      </c>
      <c r="Y54" s="1" t="s">
        <v>5</v>
      </c>
      <c r="Z54" s="0" t="n">
        <v>14.929002</v>
      </c>
      <c r="AA54" s="0" t="s">
        <v>537</v>
      </c>
      <c r="AB54" s="1" t="s">
        <v>6</v>
      </c>
      <c r="AC54" s="0" t="n">
        <v>30.872509</v>
      </c>
      <c r="AD54" s="0" t="s">
        <v>617</v>
      </c>
      <c r="AE54" s="1" t="s">
        <v>6</v>
      </c>
      <c r="AF54" s="0" t="n">
        <v>17.77663</v>
      </c>
      <c r="AG54" s="0" t="s">
        <v>473</v>
      </c>
      <c r="AH54" s="1" t="s">
        <v>5</v>
      </c>
      <c r="AI54" s="0" t="n">
        <v>15.490013</v>
      </c>
      <c r="AJ54" s="0" t="s">
        <v>9</v>
      </c>
      <c r="AK54" s="1" t="s">
        <v>5</v>
      </c>
      <c r="AL54" s="0" t="s">
        <v>474</v>
      </c>
      <c r="AM54" s="0" t="s">
        <v>468</v>
      </c>
      <c r="AN54" s="0" t="s">
        <v>469</v>
      </c>
      <c r="AO54" s="0" t="n">
        <v>8.697433</v>
      </c>
      <c r="AP54" s="0" t="n">
        <v>0</v>
      </c>
      <c r="AQ54" s="0" t="n">
        <v>0</v>
      </c>
      <c r="AS54" s="2" t="str">
        <f aca="false">IF(AND(G54="true",J54="true",M54="true",P54="true",S54="true"),"true","false")</f>
        <v>false</v>
      </c>
      <c r="AT54" s="0" t="str">
        <f aca="false">IF(AND(Y54="true",AB54="true",AE54="true",AH54="true",AK54="true"),"true","false")</f>
        <v>false</v>
      </c>
    </row>
    <row r="55" customFormat="false" ht="12.8" hidden="false" customHeight="false" outlineLevel="0" collapsed="false">
      <c r="A55" s="0" t="s">
        <v>618</v>
      </c>
      <c r="B55" s="0" t="s">
        <v>1</v>
      </c>
      <c r="C55" s="0" t="s">
        <v>468</v>
      </c>
      <c r="D55" s="0" t="s">
        <v>469</v>
      </c>
      <c r="E55" s="0" t="n">
        <v>74.226928</v>
      </c>
      <c r="F55" s="0" t="s">
        <v>470</v>
      </c>
      <c r="G55" s="1" t="s">
        <v>5</v>
      </c>
      <c r="H55" s="0" t="n">
        <v>44.540946</v>
      </c>
      <c r="I55" s="0" t="s">
        <v>619</v>
      </c>
      <c r="J55" s="1" t="s">
        <v>6</v>
      </c>
      <c r="K55" s="0" t="n">
        <v>32.84488</v>
      </c>
      <c r="L55" s="0" t="s">
        <v>486</v>
      </c>
      <c r="M55" s="1" t="s">
        <v>5</v>
      </c>
      <c r="N55" s="0" t="n">
        <v>27.097193</v>
      </c>
      <c r="O55" s="0" t="s">
        <v>473</v>
      </c>
      <c r="P55" s="1" t="s">
        <v>5</v>
      </c>
      <c r="Q55" s="0" t="n">
        <v>16.291129</v>
      </c>
      <c r="R55" s="0" t="s">
        <v>15</v>
      </c>
      <c r="S55" s="1" t="s">
        <v>6</v>
      </c>
      <c r="T55" s="0" t="s">
        <v>10</v>
      </c>
      <c r="U55" s="0" t="s">
        <v>474</v>
      </c>
      <c r="V55" s="0" t="s">
        <v>469</v>
      </c>
      <c r="W55" s="0" t="n">
        <v>52.377172</v>
      </c>
      <c r="X55" s="0" t="s">
        <v>480</v>
      </c>
      <c r="Y55" s="1" t="s">
        <v>5</v>
      </c>
      <c r="Z55" s="0" t="n">
        <v>18.971131</v>
      </c>
      <c r="AA55" s="0" t="s">
        <v>476</v>
      </c>
      <c r="AB55" s="1" t="s">
        <v>5</v>
      </c>
      <c r="AC55" s="0" t="n">
        <v>0.588991</v>
      </c>
      <c r="AE55" s="1" t="s">
        <v>6</v>
      </c>
      <c r="AF55" s="0" t="n">
        <v>53.457646</v>
      </c>
      <c r="AG55" s="0" t="s">
        <v>478</v>
      </c>
      <c r="AH55" s="1" t="s">
        <v>5</v>
      </c>
      <c r="AI55" s="0" t="n">
        <v>30.339106</v>
      </c>
      <c r="AJ55" s="0" t="s">
        <v>9</v>
      </c>
      <c r="AK55" s="1" t="s">
        <v>5</v>
      </c>
      <c r="AL55" s="0" t="s">
        <v>468</v>
      </c>
      <c r="AM55" s="0" t="s">
        <v>474</v>
      </c>
      <c r="AN55" s="0" t="s">
        <v>469</v>
      </c>
      <c r="AO55" s="0" t="n">
        <v>6.231595</v>
      </c>
      <c r="AP55" s="0" t="n">
        <v>-2</v>
      </c>
      <c r="AQ55" s="0" t="n">
        <v>2</v>
      </c>
      <c r="AS55" s="2" t="str">
        <f aca="false">IF(AND(G55="true",J55="true",M55="true",P55="true",S55="true"),"true","false")</f>
        <v>false</v>
      </c>
      <c r="AT55" s="0" t="str">
        <f aca="false">IF(AND(Y55="true",AB55="true",AE55="true",AH55="true",AK55="true"),"true","false")</f>
        <v>false</v>
      </c>
    </row>
    <row r="56" customFormat="false" ht="12.8" hidden="false" customHeight="false" outlineLevel="0" collapsed="false">
      <c r="A56" s="0" t="s">
        <v>620</v>
      </c>
      <c r="B56" s="0" t="s">
        <v>1</v>
      </c>
      <c r="C56" s="0" t="s">
        <v>474</v>
      </c>
      <c r="D56" s="0" t="s">
        <v>469</v>
      </c>
      <c r="E56" s="0" t="n">
        <v>80.233295</v>
      </c>
      <c r="F56" s="0" t="s">
        <v>480</v>
      </c>
      <c r="G56" s="1" t="s">
        <v>5</v>
      </c>
      <c r="H56" s="0" t="n">
        <v>60.294721</v>
      </c>
      <c r="I56" s="0" t="s">
        <v>476</v>
      </c>
      <c r="J56" s="1" t="s">
        <v>5</v>
      </c>
      <c r="K56" s="0" t="n">
        <v>1.012932</v>
      </c>
      <c r="M56" s="1" t="s">
        <v>6</v>
      </c>
      <c r="N56" s="0" t="n">
        <v>72.871515</v>
      </c>
      <c r="O56" s="0" t="s">
        <v>621</v>
      </c>
      <c r="P56" s="1" t="s">
        <v>6</v>
      </c>
      <c r="Q56" s="0" t="n">
        <v>11.85168</v>
      </c>
      <c r="R56" s="0" t="s">
        <v>9</v>
      </c>
      <c r="S56" s="1" t="s">
        <v>6</v>
      </c>
      <c r="T56" s="0" t="s">
        <v>10</v>
      </c>
      <c r="U56" s="0" t="s">
        <v>468</v>
      </c>
      <c r="V56" s="0" t="s">
        <v>469</v>
      </c>
      <c r="W56" s="0" t="n">
        <v>76.477405</v>
      </c>
      <c r="X56" s="0" t="s">
        <v>470</v>
      </c>
      <c r="Y56" s="1" t="s">
        <v>5</v>
      </c>
      <c r="Z56" s="0" t="n">
        <v>46.604413</v>
      </c>
      <c r="AA56" s="0" t="s">
        <v>486</v>
      </c>
      <c r="AB56" s="1" t="s">
        <v>6</v>
      </c>
      <c r="AC56" s="0" t="n">
        <v>46.467363</v>
      </c>
      <c r="AD56" s="0" t="s">
        <v>471</v>
      </c>
      <c r="AE56" s="1" t="s">
        <v>6</v>
      </c>
      <c r="AF56" s="0" t="n">
        <v>65.409224</v>
      </c>
      <c r="AG56" s="0" t="s">
        <v>473</v>
      </c>
      <c r="AH56" s="1" t="s">
        <v>5</v>
      </c>
      <c r="AI56" s="0" t="n">
        <v>23.523579</v>
      </c>
      <c r="AJ56" s="0" t="s">
        <v>15</v>
      </c>
      <c r="AK56" s="1" t="s">
        <v>6</v>
      </c>
      <c r="AL56" s="0" t="s">
        <v>474</v>
      </c>
      <c r="AM56" s="0" t="s">
        <v>468</v>
      </c>
      <c r="AN56" s="0" t="s">
        <v>469</v>
      </c>
      <c r="AO56" s="0" t="n">
        <v>9.019673</v>
      </c>
      <c r="AP56" s="0" t="n">
        <v>0</v>
      </c>
      <c r="AQ56" s="0" t="n">
        <v>2</v>
      </c>
      <c r="AS56" s="2" t="str">
        <f aca="false">IF(AND(G56="true",J56="true",M56="true",P56="true",S56="true"),"true","false")</f>
        <v>false</v>
      </c>
      <c r="AT56" s="0" t="str">
        <f aca="false">IF(AND(Y56="true",AB56="true",AE56="true",AH56="true",AK56="true"),"true","false")</f>
        <v>false</v>
      </c>
    </row>
    <row r="57" customFormat="false" ht="12.8" hidden="false" customHeight="false" outlineLevel="0" collapsed="false">
      <c r="A57" s="0" t="s">
        <v>622</v>
      </c>
      <c r="B57" s="0" t="s">
        <v>1</v>
      </c>
      <c r="C57" s="0" t="s">
        <v>468</v>
      </c>
      <c r="D57" s="0" t="s">
        <v>469</v>
      </c>
      <c r="E57" s="0" t="n">
        <v>49.940048</v>
      </c>
      <c r="F57" s="0" t="s">
        <v>623</v>
      </c>
      <c r="G57" s="1" t="s">
        <v>6</v>
      </c>
      <c r="H57" s="0" t="n">
        <v>35.864054</v>
      </c>
      <c r="I57" s="0" t="s">
        <v>506</v>
      </c>
      <c r="J57" s="1" t="s">
        <v>6</v>
      </c>
      <c r="K57" s="0" t="n">
        <v>15.84701</v>
      </c>
      <c r="L57" s="0" t="s">
        <v>486</v>
      </c>
      <c r="M57" s="1" t="s">
        <v>5</v>
      </c>
      <c r="N57" s="0" t="n">
        <v>20.956997</v>
      </c>
      <c r="O57" s="0" t="s">
        <v>473</v>
      </c>
      <c r="P57" s="1" t="s">
        <v>5</v>
      </c>
      <c r="Q57" s="0" t="n">
        <v>11.678537</v>
      </c>
      <c r="R57" s="0" t="s">
        <v>15</v>
      </c>
      <c r="S57" s="1" t="s">
        <v>6</v>
      </c>
      <c r="T57" s="0" t="s">
        <v>10</v>
      </c>
      <c r="U57" s="0" t="s">
        <v>474</v>
      </c>
      <c r="V57" s="0" t="s">
        <v>469</v>
      </c>
      <c r="W57" s="0" t="n">
        <v>28.633054</v>
      </c>
      <c r="X57" s="0" t="s">
        <v>480</v>
      </c>
      <c r="Y57" s="1" t="s">
        <v>5</v>
      </c>
      <c r="Z57" s="0" t="n">
        <v>30.253781</v>
      </c>
      <c r="AA57" s="0" t="s">
        <v>476</v>
      </c>
      <c r="AB57" s="1" t="s">
        <v>5</v>
      </c>
      <c r="AC57" s="0" t="n">
        <v>37.247619</v>
      </c>
      <c r="AD57" s="0" t="s">
        <v>476</v>
      </c>
      <c r="AE57" s="1" t="s">
        <v>6</v>
      </c>
      <c r="AF57" s="0" t="n">
        <v>37.287759</v>
      </c>
      <c r="AG57" s="0" t="s">
        <v>478</v>
      </c>
      <c r="AH57" s="1" t="s">
        <v>5</v>
      </c>
      <c r="AI57" s="0" t="n">
        <v>15.775106</v>
      </c>
      <c r="AJ57" s="0" t="s">
        <v>9</v>
      </c>
      <c r="AK57" s="1" t="s">
        <v>5</v>
      </c>
      <c r="AL57" s="0" t="s">
        <v>468</v>
      </c>
      <c r="AM57" s="0" t="s">
        <v>474</v>
      </c>
      <c r="AN57" s="0" t="s">
        <v>469</v>
      </c>
      <c r="AO57" s="0" t="n">
        <v>5.983662</v>
      </c>
      <c r="AP57" s="0" t="n">
        <v>-1</v>
      </c>
      <c r="AQ57" s="0" t="n">
        <v>1</v>
      </c>
      <c r="AS57" s="2" t="str">
        <f aca="false">IF(AND(G57="true",J57="true",M57="true",P57="true",S57="true"),"true","false")</f>
        <v>false</v>
      </c>
      <c r="AT57" s="0" t="str">
        <f aca="false">IF(AND(Y57="true",AB57="true",AE57="true",AH57="true",AK57="true"),"true","false")</f>
        <v>false</v>
      </c>
    </row>
    <row r="58" customFormat="false" ht="12.8" hidden="false" customHeight="false" outlineLevel="0" collapsed="false">
      <c r="A58" s="0" t="s">
        <v>624</v>
      </c>
      <c r="B58" s="0" t="s">
        <v>1</v>
      </c>
      <c r="C58" s="0" t="s">
        <v>474</v>
      </c>
      <c r="D58" s="0" t="s">
        <v>469</v>
      </c>
      <c r="E58" s="0" t="n">
        <v>25.147639</v>
      </c>
      <c r="F58" s="0" t="s">
        <v>625</v>
      </c>
      <c r="G58" s="1" t="s">
        <v>6</v>
      </c>
      <c r="H58" s="0" t="n">
        <v>4.05717</v>
      </c>
      <c r="I58" s="0" t="s">
        <v>626</v>
      </c>
      <c r="J58" s="1" t="s">
        <v>6</v>
      </c>
      <c r="K58" s="0" t="n">
        <v>2.620911</v>
      </c>
      <c r="L58" s="0" t="s">
        <v>627</v>
      </c>
      <c r="M58" s="1" t="s">
        <v>6</v>
      </c>
      <c r="N58" s="0" t="n">
        <v>2.789107</v>
      </c>
      <c r="O58" s="0" t="s">
        <v>628</v>
      </c>
      <c r="P58" s="1" t="s">
        <v>6</v>
      </c>
      <c r="Q58" s="0" t="n">
        <v>2.0298</v>
      </c>
      <c r="R58" s="0" t="s">
        <v>9</v>
      </c>
      <c r="S58" s="1" t="s">
        <v>6</v>
      </c>
      <c r="T58" s="0" t="s">
        <v>10</v>
      </c>
      <c r="U58" s="0" t="s">
        <v>468</v>
      </c>
      <c r="V58" s="0" t="s">
        <v>469</v>
      </c>
      <c r="W58" s="0" t="n">
        <v>98.625087</v>
      </c>
      <c r="X58" s="0" t="s">
        <v>629</v>
      </c>
      <c r="Y58" s="1" t="s">
        <v>6</v>
      </c>
      <c r="Z58" s="0" t="n">
        <v>2.884438</v>
      </c>
      <c r="AA58" s="0" t="s">
        <v>630</v>
      </c>
      <c r="AB58" s="1" t="s">
        <v>6</v>
      </c>
      <c r="AC58" s="0" t="n">
        <v>4.10795</v>
      </c>
      <c r="AD58" s="0" t="s">
        <v>631</v>
      </c>
      <c r="AE58" s="1" t="s">
        <v>6</v>
      </c>
      <c r="AF58" s="0" t="n">
        <v>2.143346</v>
      </c>
      <c r="AG58" s="0" t="s">
        <v>632</v>
      </c>
      <c r="AH58" s="1" t="s">
        <v>6</v>
      </c>
      <c r="AI58" s="0" t="n">
        <v>2.143299</v>
      </c>
      <c r="AJ58" s="0" t="s">
        <v>51</v>
      </c>
      <c r="AK58" s="1" t="s">
        <v>6</v>
      </c>
      <c r="AL58" s="0" t="s">
        <v>474</v>
      </c>
      <c r="AM58" s="0" t="s">
        <v>468</v>
      </c>
      <c r="AN58" s="0" t="s">
        <v>469</v>
      </c>
      <c r="AO58" s="0" t="n">
        <v>3.127474</v>
      </c>
      <c r="AP58" s="0" t="n">
        <v>0</v>
      </c>
      <c r="AQ58" s="0" t="n">
        <v>0</v>
      </c>
      <c r="AS58" s="2" t="str">
        <f aca="false">IF(AND(G58="true",J58="true",M58="true",P58="true",S58="true"),"true","false")</f>
        <v>false</v>
      </c>
      <c r="AT58" s="0" t="str">
        <f aca="false">IF(AND(Y58="true",AB58="true",AE58="true",AH58="true",AK58="true"),"true","false")</f>
        <v>false</v>
      </c>
    </row>
    <row r="59" customFormat="false" ht="12.8" hidden="false" customHeight="false" outlineLevel="0" collapsed="false">
      <c r="A59" s="0" t="s">
        <v>633</v>
      </c>
      <c r="B59" s="0" t="s">
        <v>1</v>
      </c>
      <c r="C59" s="0" t="s">
        <v>474</v>
      </c>
      <c r="D59" s="0" t="s">
        <v>469</v>
      </c>
      <c r="E59" s="0" t="n">
        <v>61.289924</v>
      </c>
      <c r="F59" s="0" t="s">
        <v>480</v>
      </c>
      <c r="G59" s="1" t="s">
        <v>5</v>
      </c>
      <c r="H59" s="0" t="n">
        <v>28.068698</v>
      </c>
      <c r="I59" s="0" t="s">
        <v>476</v>
      </c>
      <c r="J59" s="1" t="s">
        <v>5</v>
      </c>
      <c r="K59" s="0" t="n">
        <v>21.762206</v>
      </c>
      <c r="L59" s="0" t="s">
        <v>477</v>
      </c>
      <c r="M59" s="1" t="s">
        <v>5</v>
      </c>
      <c r="N59" s="0" t="n">
        <v>52.020888</v>
      </c>
      <c r="O59" s="0" t="s">
        <v>478</v>
      </c>
      <c r="P59" s="1" t="s">
        <v>5</v>
      </c>
      <c r="Q59" s="0" t="n">
        <v>11.908445</v>
      </c>
      <c r="R59" s="0" t="s">
        <v>9</v>
      </c>
      <c r="S59" s="1" t="s">
        <v>6</v>
      </c>
      <c r="T59" s="0" t="s">
        <v>10</v>
      </c>
      <c r="U59" s="0" t="s">
        <v>468</v>
      </c>
      <c r="V59" s="0" t="s">
        <v>469</v>
      </c>
      <c r="W59" s="0" t="n">
        <v>115.338858</v>
      </c>
      <c r="X59" s="0" t="s">
        <v>634</v>
      </c>
      <c r="Y59" s="1" t="s">
        <v>6</v>
      </c>
      <c r="Z59" s="0" t="n">
        <v>35.537102</v>
      </c>
      <c r="AA59" s="0" t="s">
        <v>527</v>
      </c>
      <c r="AB59" s="1" t="s">
        <v>6</v>
      </c>
      <c r="AC59" s="0" t="n">
        <v>32.368963</v>
      </c>
      <c r="AD59" s="0" t="s">
        <v>635</v>
      </c>
      <c r="AE59" s="1" t="s">
        <v>6</v>
      </c>
      <c r="AF59" s="0" t="n">
        <v>33.953251</v>
      </c>
      <c r="AH59" s="1" t="s">
        <v>6</v>
      </c>
      <c r="AI59" s="0" t="n">
        <v>3.477754</v>
      </c>
      <c r="AJ59" s="0" t="s">
        <v>51</v>
      </c>
      <c r="AK59" s="1" t="s">
        <v>6</v>
      </c>
      <c r="AL59" s="0" t="s">
        <v>474</v>
      </c>
      <c r="AM59" s="0" t="s">
        <v>468</v>
      </c>
      <c r="AN59" s="0" t="s">
        <v>469</v>
      </c>
      <c r="AO59" s="0" t="n">
        <v>4.462652</v>
      </c>
      <c r="AP59" s="0" t="n">
        <v>2</v>
      </c>
      <c r="AQ59" s="0" t="n">
        <v>-2</v>
      </c>
      <c r="AS59" s="2" t="str">
        <f aca="false">IF(AND(G59="true",J59="true",M59="true",P59="true",S59="true"),"true","false")</f>
        <v>false</v>
      </c>
      <c r="AT59" s="0" t="str">
        <f aca="false">IF(AND(Y59="true",AB59="true",AE59="true",AH59="true",AK59="true"),"true","false")</f>
        <v>false</v>
      </c>
    </row>
    <row r="60" customFormat="false" ht="12.8" hidden="false" customHeight="false" outlineLevel="0" collapsed="false">
      <c r="A60" s="0" t="s">
        <v>636</v>
      </c>
      <c r="B60" s="0" t="s">
        <v>1</v>
      </c>
      <c r="C60" s="0" t="s">
        <v>468</v>
      </c>
      <c r="D60" s="0" t="s">
        <v>469</v>
      </c>
      <c r="E60" s="0" t="n">
        <v>203.97207</v>
      </c>
      <c r="F60" s="0" t="s">
        <v>470</v>
      </c>
      <c r="G60" s="1" t="s">
        <v>5</v>
      </c>
      <c r="H60" s="0" t="n">
        <v>36.226757</v>
      </c>
      <c r="I60" s="0" t="s">
        <v>506</v>
      </c>
      <c r="J60" s="1" t="s">
        <v>6</v>
      </c>
      <c r="K60" s="0" t="n">
        <v>29.56465</v>
      </c>
      <c r="L60" s="0" t="s">
        <v>486</v>
      </c>
      <c r="M60" s="1" t="s">
        <v>5</v>
      </c>
      <c r="N60" s="0" t="n">
        <v>18.517918</v>
      </c>
      <c r="O60" s="0" t="s">
        <v>473</v>
      </c>
      <c r="P60" s="1" t="s">
        <v>5</v>
      </c>
      <c r="Q60" s="0" t="n">
        <v>15.70438</v>
      </c>
      <c r="R60" s="0" t="s">
        <v>15</v>
      </c>
      <c r="S60" s="1" t="s">
        <v>6</v>
      </c>
      <c r="T60" s="0" t="s">
        <v>10</v>
      </c>
      <c r="U60" s="0" t="s">
        <v>474</v>
      </c>
      <c r="V60" s="0" t="s">
        <v>469</v>
      </c>
      <c r="W60" s="0" t="n">
        <v>62.30573</v>
      </c>
      <c r="X60" s="0" t="s">
        <v>480</v>
      </c>
      <c r="Y60" s="1" t="s">
        <v>5</v>
      </c>
      <c r="Z60" s="0" t="n">
        <v>39.452096</v>
      </c>
      <c r="AA60" s="0" t="s">
        <v>476</v>
      </c>
      <c r="AB60" s="1" t="s">
        <v>5</v>
      </c>
      <c r="AC60" s="0" t="n">
        <v>10.732589</v>
      </c>
      <c r="AD60" s="0" t="s">
        <v>502</v>
      </c>
      <c r="AE60" s="1" t="s">
        <v>6</v>
      </c>
      <c r="AF60" s="0" t="n">
        <v>30.865987</v>
      </c>
      <c r="AG60" s="0" t="s">
        <v>525</v>
      </c>
      <c r="AH60" s="1" t="s">
        <v>6</v>
      </c>
      <c r="AI60" s="0" t="n">
        <v>42.933071</v>
      </c>
      <c r="AJ60" s="0" t="s">
        <v>9</v>
      </c>
      <c r="AK60" s="1" t="s">
        <v>5</v>
      </c>
      <c r="AL60" s="0" t="s">
        <v>468</v>
      </c>
      <c r="AM60" s="0" t="s">
        <v>474</v>
      </c>
      <c r="AN60" s="0" t="s">
        <v>469</v>
      </c>
      <c r="AO60" s="0" t="n">
        <v>5.150611</v>
      </c>
      <c r="AP60" s="0" t="n">
        <v>1</v>
      </c>
      <c r="AQ60" s="0" t="n">
        <v>0</v>
      </c>
      <c r="AS60" s="2" t="str">
        <f aca="false">IF(AND(G60="true",J60="true",M60="true",P60="true",S60="true"),"true","false")</f>
        <v>false</v>
      </c>
      <c r="AT60" s="0" t="str">
        <f aca="false">IF(AND(Y60="true",AB60="true",AE60="true",AH60="true",AK60="true"),"true","false")</f>
        <v>false</v>
      </c>
    </row>
    <row r="61" customFormat="false" ht="12.8" hidden="false" customHeight="false" outlineLevel="0" collapsed="false">
      <c r="A61" s="0" t="s">
        <v>637</v>
      </c>
      <c r="B61" s="0" t="s">
        <v>1</v>
      </c>
      <c r="C61" s="0" t="s">
        <v>468</v>
      </c>
      <c r="D61" s="0" t="s">
        <v>469</v>
      </c>
      <c r="E61" s="0" t="n">
        <v>76.442957</v>
      </c>
      <c r="F61" s="0" t="s">
        <v>470</v>
      </c>
      <c r="G61" s="1" t="s">
        <v>5</v>
      </c>
      <c r="H61" s="0" t="n">
        <v>48.154101</v>
      </c>
      <c r="I61" s="0" t="s">
        <v>506</v>
      </c>
      <c r="J61" s="1" t="s">
        <v>6</v>
      </c>
      <c r="K61" s="0" t="n">
        <v>17.601835</v>
      </c>
      <c r="L61" s="0" t="s">
        <v>498</v>
      </c>
      <c r="M61" s="1" t="s">
        <v>6</v>
      </c>
      <c r="N61" s="0" t="n">
        <v>26.463235</v>
      </c>
      <c r="O61" s="0" t="s">
        <v>473</v>
      </c>
      <c r="P61" s="1" t="s">
        <v>5</v>
      </c>
      <c r="Q61" s="0" t="n">
        <v>13.154234</v>
      </c>
      <c r="R61" s="0" t="s">
        <v>9</v>
      </c>
      <c r="S61" s="1" t="s">
        <v>6</v>
      </c>
      <c r="T61" s="0" t="s">
        <v>10</v>
      </c>
      <c r="U61" s="0" t="s">
        <v>474</v>
      </c>
      <c r="V61" s="0" t="s">
        <v>469</v>
      </c>
      <c r="W61" s="0" t="n">
        <v>35.276499</v>
      </c>
      <c r="X61" s="0" t="s">
        <v>638</v>
      </c>
      <c r="Y61" s="1" t="s">
        <v>6</v>
      </c>
      <c r="Z61" s="0" t="n">
        <v>26.605897</v>
      </c>
      <c r="AA61" s="0" t="s">
        <v>639</v>
      </c>
      <c r="AB61" s="1" t="s">
        <v>6</v>
      </c>
      <c r="AC61" s="0" t="n">
        <v>25.154046</v>
      </c>
      <c r="AD61" s="0" t="s">
        <v>640</v>
      </c>
      <c r="AE61" s="1" t="s">
        <v>6</v>
      </c>
      <c r="AF61" s="0" t="n">
        <v>19.832675</v>
      </c>
      <c r="AG61" s="0" t="s">
        <v>641</v>
      </c>
      <c r="AH61" s="1" t="s">
        <v>6</v>
      </c>
      <c r="AI61" s="0" t="n">
        <v>4.482166</v>
      </c>
      <c r="AJ61" s="0" t="s">
        <v>9</v>
      </c>
      <c r="AK61" s="1" t="s">
        <v>5</v>
      </c>
      <c r="AL61" s="0" t="s">
        <v>468</v>
      </c>
      <c r="AM61" s="0" t="s">
        <v>474</v>
      </c>
      <c r="AN61" s="0" t="s">
        <v>469</v>
      </c>
      <c r="AO61" s="0" t="n">
        <v>3.640445</v>
      </c>
      <c r="AP61" s="0" t="n">
        <v>1</v>
      </c>
      <c r="AQ61" s="0" t="n">
        <v>-1</v>
      </c>
      <c r="AS61" s="2" t="str">
        <f aca="false">IF(AND(G61="true",J61="true",M61="true",P61="true",S61="true"),"true","false")</f>
        <v>false</v>
      </c>
      <c r="AT61" s="0" t="str">
        <f aca="false">IF(AND(Y61="true",AB61="true",AE61="true",AH61="true",AK61="true"),"true","false")</f>
        <v>false</v>
      </c>
    </row>
    <row r="62" customFormat="false" ht="12.8" hidden="false" customHeight="false" outlineLevel="0" collapsed="false">
      <c r="A62" s="0" t="s">
        <v>642</v>
      </c>
      <c r="B62" s="0" t="s">
        <v>1</v>
      </c>
      <c r="C62" s="0" t="s">
        <v>468</v>
      </c>
      <c r="D62" s="0" t="s">
        <v>469</v>
      </c>
      <c r="E62" s="0" t="n">
        <v>53.148365</v>
      </c>
      <c r="F62" s="0" t="s">
        <v>643</v>
      </c>
      <c r="G62" s="1" t="s">
        <v>6</v>
      </c>
      <c r="H62" s="0" t="n">
        <v>43.77745</v>
      </c>
      <c r="I62" s="0" t="s">
        <v>643</v>
      </c>
      <c r="J62" s="1" t="s">
        <v>6</v>
      </c>
      <c r="K62" s="0" t="n">
        <v>5.018193</v>
      </c>
      <c r="L62" s="0" t="s">
        <v>516</v>
      </c>
      <c r="M62" s="1" t="s">
        <v>6</v>
      </c>
      <c r="N62" s="0" t="n">
        <v>32.18571</v>
      </c>
      <c r="O62" s="0" t="s">
        <v>538</v>
      </c>
      <c r="P62" s="1" t="s">
        <v>6</v>
      </c>
      <c r="Q62" s="0" t="n">
        <v>25.109951</v>
      </c>
      <c r="R62" s="0" t="s">
        <v>51</v>
      </c>
      <c r="S62" s="1" t="s">
        <v>5</v>
      </c>
      <c r="T62" s="0" t="s">
        <v>10</v>
      </c>
      <c r="U62" s="0" t="s">
        <v>474</v>
      </c>
      <c r="V62" s="0" t="s">
        <v>469</v>
      </c>
      <c r="W62" s="0" t="n">
        <v>53.089454</v>
      </c>
      <c r="X62" s="0" t="s">
        <v>480</v>
      </c>
      <c r="Y62" s="1" t="s">
        <v>5</v>
      </c>
      <c r="Z62" s="0" t="n">
        <v>21.869602</v>
      </c>
      <c r="AA62" s="0" t="s">
        <v>501</v>
      </c>
      <c r="AB62" s="1" t="s">
        <v>6</v>
      </c>
      <c r="AC62" s="0" t="n">
        <v>9.243981</v>
      </c>
      <c r="AD62" s="0" t="s">
        <v>502</v>
      </c>
      <c r="AE62" s="1" t="s">
        <v>6</v>
      </c>
      <c r="AF62" s="0" t="n">
        <v>53.982798</v>
      </c>
      <c r="AG62" s="0" t="s">
        <v>478</v>
      </c>
      <c r="AH62" s="1" t="s">
        <v>5</v>
      </c>
      <c r="AI62" s="0" t="n">
        <v>24.287103</v>
      </c>
      <c r="AJ62" s="0" t="s">
        <v>51</v>
      </c>
      <c r="AK62" s="1" t="s">
        <v>6</v>
      </c>
      <c r="AL62" s="0" t="s">
        <v>468</v>
      </c>
      <c r="AM62" s="0" t="s">
        <v>474</v>
      </c>
      <c r="AN62" s="0" t="s">
        <v>469</v>
      </c>
      <c r="AO62" s="0" t="n">
        <v>6.054147</v>
      </c>
      <c r="AP62" s="0" t="n">
        <v>-1</v>
      </c>
      <c r="AQ62" s="0" t="n">
        <v>0</v>
      </c>
      <c r="AS62" s="2" t="str">
        <f aca="false">IF(AND(G62="true",J62="true",M62="true",P62="true",S62="true"),"true","false")</f>
        <v>false</v>
      </c>
      <c r="AT62" s="0" t="str">
        <f aca="false">IF(AND(Y62="true",AB62="true",AE62="true",AH62="true",AK62="true"),"true","false")</f>
        <v>false</v>
      </c>
    </row>
    <row r="63" customFormat="false" ht="12.8" hidden="false" customHeight="false" outlineLevel="0" collapsed="false">
      <c r="A63" s="0" t="s">
        <v>644</v>
      </c>
      <c r="B63" s="0" t="s">
        <v>1</v>
      </c>
      <c r="C63" s="0" t="s">
        <v>474</v>
      </c>
      <c r="D63" s="0" t="s">
        <v>469</v>
      </c>
      <c r="E63" s="0" t="n">
        <v>86.832198</v>
      </c>
      <c r="F63" s="0" t="s">
        <v>480</v>
      </c>
      <c r="G63" s="1" t="s">
        <v>5</v>
      </c>
      <c r="H63" s="0" t="n">
        <v>82.091582</v>
      </c>
      <c r="I63" s="0" t="s">
        <v>476</v>
      </c>
      <c r="J63" s="1" t="s">
        <v>5</v>
      </c>
      <c r="K63" s="0" t="n">
        <v>19.980518</v>
      </c>
      <c r="L63" s="0" t="s">
        <v>484</v>
      </c>
      <c r="M63" s="1" t="s">
        <v>6</v>
      </c>
      <c r="N63" s="0" t="n">
        <v>92.63772</v>
      </c>
      <c r="O63" s="0" t="s">
        <v>478</v>
      </c>
      <c r="P63" s="1" t="s">
        <v>5</v>
      </c>
      <c r="Q63" s="0" t="n">
        <v>5.722875</v>
      </c>
      <c r="R63" s="0" t="s">
        <v>51</v>
      </c>
      <c r="S63" s="1" t="s">
        <v>5</v>
      </c>
      <c r="T63" s="0" t="s">
        <v>10</v>
      </c>
      <c r="U63" s="0" t="s">
        <v>468</v>
      </c>
      <c r="V63" s="0" t="s">
        <v>469</v>
      </c>
      <c r="W63" s="0" t="n">
        <v>47.356798</v>
      </c>
      <c r="X63" s="0" t="s">
        <v>470</v>
      </c>
      <c r="Y63" s="1" t="s">
        <v>5</v>
      </c>
      <c r="Z63" s="0" t="n">
        <v>45.70005</v>
      </c>
      <c r="AA63" s="0" t="s">
        <v>471</v>
      </c>
      <c r="AB63" s="1" t="s">
        <v>5</v>
      </c>
      <c r="AC63" s="0" t="n">
        <v>17.138884</v>
      </c>
      <c r="AD63" s="0" t="s">
        <v>486</v>
      </c>
      <c r="AE63" s="1" t="s">
        <v>5</v>
      </c>
      <c r="AF63" s="0" t="n">
        <v>15.934173</v>
      </c>
      <c r="AG63" s="0" t="s">
        <v>473</v>
      </c>
      <c r="AH63" s="1" t="s">
        <v>5</v>
      </c>
      <c r="AI63" s="0" t="n">
        <v>11.893749</v>
      </c>
      <c r="AJ63" s="0" t="s">
        <v>15</v>
      </c>
      <c r="AK63" s="1" t="s">
        <v>6</v>
      </c>
      <c r="AL63" s="0" t="s">
        <v>474</v>
      </c>
      <c r="AM63" s="0" t="s">
        <v>468</v>
      </c>
      <c r="AN63" s="0" t="s">
        <v>469</v>
      </c>
      <c r="AO63" s="0" t="n">
        <v>7.27467</v>
      </c>
      <c r="AP63" s="0" t="n">
        <v>-1</v>
      </c>
      <c r="AQ63" s="0" t="n">
        <v>1</v>
      </c>
      <c r="AS63" s="2" t="str">
        <f aca="false">IF(AND(G63="true",J63="true",M63="true",P63="true",S63="true"),"true","false")</f>
        <v>false</v>
      </c>
      <c r="AT63" s="0" t="str">
        <f aca="false">IF(AND(Y63="true",AB63="true",AE63="true",AH63="true",AK63="true"),"true","false")</f>
        <v>false</v>
      </c>
    </row>
    <row r="64" customFormat="false" ht="12.8" hidden="false" customHeight="false" outlineLevel="0" collapsed="false">
      <c r="A64" s="0" t="s">
        <v>645</v>
      </c>
      <c r="B64" s="0" t="s">
        <v>1</v>
      </c>
      <c r="C64" s="0" t="s">
        <v>474</v>
      </c>
      <c r="D64" s="0" t="s">
        <v>469</v>
      </c>
      <c r="E64" s="0" t="n">
        <v>85.560192</v>
      </c>
      <c r="F64" s="0" t="s">
        <v>480</v>
      </c>
      <c r="G64" s="1" t="s">
        <v>5</v>
      </c>
      <c r="H64" s="0" t="n">
        <v>45.794049</v>
      </c>
      <c r="I64" s="0" t="s">
        <v>646</v>
      </c>
      <c r="J64" s="1" t="s">
        <v>6</v>
      </c>
      <c r="K64" s="0" t="n">
        <v>18.270186</v>
      </c>
      <c r="L64" s="0" t="s">
        <v>477</v>
      </c>
      <c r="M64" s="1" t="s">
        <v>5</v>
      </c>
      <c r="N64" s="0" t="n">
        <v>98.171822</v>
      </c>
      <c r="O64" s="0" t="s">
        <v>525</v>
      </c>
      <c r="P64" s="1" t="s">
        <v>6</v>
      </c>
      <c r="Q64" s="0" t="n">
        <v>4.903257</v>
      </c>
      <c r="R64" s="0" t="s">
        <v>15</v>
      </c>
      <c r="S64" s="1" t="s">
        <v>6</v>
      </c>
      <c r="T64" s="0" t="s">
        <v>10</v>
      </c>
      <c r="U64" s="0" t="s">
        <v>468</v>
      </c>
      <c r="V64" s="0" t="s">
        <v>469</v>
      </c>
      <c r="W64" s="0" t="n">
        <v>2.1218</v>
      </c>
      <c r="Y64" s="1" t="s">
        <v>6</v>
      </c>
      <c r="Z64" s="0" t="n">
        <v>0.649943</v>
      </c>
      <c r="AB64" s="1" t="s">
        <v>6</v>
      </c>
      <c r="AC64" s="0" t="n">
        <v>1.468862</v>
      </c>
      <c r="AE64" s="1" t="s">
        <v>6</v>
      </c>
      <c r="AF64" s="0" t="n">
        <v>1.073697</v>
      </c>
      <c r="AH64" s="1" t="s">
        <v>6</v>
      </c>
      <c r="AI64" s="0" t="n">
        <v>0.660991</v>
      </c>
      <c r="AK64" s="1" t="s">
        <v>6</v>
      </c>
      <c r="AL64" s="0" t="s">
        <v>474</v>
      </c>
      <c r="AM64" s="0" t="s">
        <v>468</v>
      </c>
      <c r="AN64" s="0" t="s">
        <v>469</v>
      </c>
      <c r="AO64" s="0" t="n">
        <v>2.5637</v>
      </c>
      <c r="AS64" s="2" t="str">
        <f aca="false">IF(AND(G64="true",J64="true",M64="true",P64="true",S64="true"),"true","false")</f>
        <v>false</v>
      </c>
      <c r="AT64" s="0" t="str">
        <f aca="false">IF(AND(Y64="true",AB64="true",AE64="true",AH64="true",AK64="true"),"true","false")</f>
        <v>false</v>
      </c>
    </row>
    <row r="65" customFormat="false" ht="12.8" hidden="false" customHeight="false" outlineLevel="0" collapsed="false">
      <c r="A65" s="0" t="s">
        <v>647</v>
      </c>
      <c r="B65" s="0" t="s">
        <v>1</v>
      </c>
      <c r="C65" s="0" t="s">
        <v>468</v>
      </c>
      <c r="D65" s="0" t="s">
        <v>469</v>
      </c>
      <c r="E65" s="0" t="n">
        <v>74.694272</v>
      </c>
      <c r="F65" s="0" t="s">
        <v>470</v>
      </c>
      <c r="G65" s="1" t="s">
        <v>5</v>
      </c>
      <c r="H65" s="0" t="n">
        <v>57.807442</v>
      </c>
      <c r="I65" s="0" t="s">
        <v>471</v>
      </c>
      <c r="J65" s="1" t="s">
        <v>5</v>
      </c>
      <c r="K65" s="0" t="n">
        <v>15.757186</v>
      </c>
      <c r="L65" s="0" t="s">
        <v>549</v>
      </c>
      <c r="M65" s="1" t="s">
        <v>6</v>
      </c>
      <c r="N65" s="0" t="n">
        <v>21.941562</v>
      </c>
      <c r="O65" s="0" t="s">
        <v>473</v>
      </c>
      <c r="P65" s="1" t="s">
        <v>5</v>
      </c>
      <c r="Q65" s="0" t="n">
        <v>10.753988</v>
      </c>
      <c r="R65" s="0" t="s">
        <v>15</v>
      </c>
      <c r="S65" s="1" t="s">
        <v>6</v>
      </c>
      <c r="T65" s="0" t="s">
        <v>10</v>
      </c>
      <c r="U65" s="0" t="s">
        <v>474</v>
      </c>
      <c r="V65" s="0" t="s">
        <v>469</v>
      </c>
      <c r="W65" s="0" t="n">
        <v>63.689544</v>
      </c>
      <c r="X65" s="0" t="s">
        <v>480</v>
      </c>
      <c r="Y65" s="1" t="s">
        <v>5</v>
      </c>
      <c r="Z65" s="0" t="n">
        <v>57.752862</v>
      </c>
      <c r="AA65" s="0" t="s">
        <v>477</v>
      </c>
      <c r="AB65" s="1" t="s">
        <v>6</v>
      </c>
      <c r="AC65" s="0" t="n">
        <v>31.435751</v>
      </c>
      <c r="AD65" s="0" t="s">
        <v>476</v>
      </c>
      <c r="AE65" s="1" t="s">
        <v>6</v>
      </c>
      <c r="AF65" s="0" t="n">
        <v>44.663245</v>
      </c>
      <c r="AG65" s="0" t="s">
        <v>478</v>
      </c>
      <c r="AH65" s="1" t="s">
        <v>5</v>
      </c>
      <c r="AI65" s="0" t="n">
        <v>5.502295</v>
      </c>
      <c r="AJ65" s="0" t="s">
        <v>15</v>
      </c>
      <c r="AK65" s="1" t="s">
        <v>6</v>
      </c>
      <c r="AL65" s="0" t="s">
        <v>468</v>
      </c>
      <c r="AM65" s="0" t="s">
        <v>474</v>
      </c>
      <c r="AN65" s="0" t="s">
        <v>469</v>
      </c>
      <c r="AO65" s="0" t="n">
        <v>5.165037</v>
      </c>
      <c r="AP65" s="0" t="n">
        <v>0</v>
      </c>
      <c r="AQ65" s="0" t="n">
        <v>0</v>
      </c>
      <c r="AS65" s="2" t="str">
        <f aca="false">IF(AND(G65="true",J65="true",M65="true",P65="true",S65="true"),"true","false")</f>
        <v>false</v>
      </c>
      <c r="AT65" s="0" t="str">
        <f aca="false">IF(AND(Y65="true",AB65="true",AE65="true",AH65="true",AK65="true"),"true","false")</f>
        <v>false</v>
      </c>
    </row>
    <row r="66" customFormat="false" ht="12.8" hidden="false" customHeight="false" outlineLevel="0" collapsed="false">
      <c r="A66" s="0" t="s">
        <v>648</v>
      </c>
      <c r="B66" s="0" t="s">
        <v>1</v>
      </c>
      <c r="C66" s="0" t="s">
        <v>474</v>
      </c>
      <c r="D66" s="0" t="s">
        <v>469</v>
      </c>
      <c r="E66" s="0" t="n">
        <v>83.010008</v>
      </c>
      <c r="F66" s="0" t="s">
        <v>480</v>
      </c>
      <c r="G66" s="1" t="s">
        <v>5</v>
      </c>
      <c r="H66" s="0" t="n">
        <v>39.716625</v>
      </c>
      <c r="I66" s="0" t="s">
        <v>476</v>
      </c>
      <c r="J66" s="1" t="s">
        <v>5</v>
      </c>
      <c r="K66" s="0" t="n">
        <v>38.959925</v>
      </c>
      <c r="L66" s="0" t="s">
        <v>477</v>
      </c>
      <c r="M66" s="1" t="s">
        <v>5</v>
      </c>
      <c r="N66" s="0" t="n">
        <v>61.719523</v>
      </c>
      <c r="O66" s="0" t="s">
        <v>525</v>
      </c>
      <c r="P66" s="1" t="s">
        <v>6</v>
      </c>
      <c r="Q66" s="0" t="n">
        <v>19.727282</v>
      </c>
      <c r="R66" s="0" t="s">
        <v>15</v>
      </c>
      <c r="S66" s="1" t="s">
        <v>6</v>
      </c>
      <c r="T66" s="0" t="s">
        <v>10</v>
      </c>
      <c r="U66" s="0" t="s">
        <v>468</v>
      </c>
      <c r="V66" s="0" t="s">
        <v>469</v>
      </c>
      <c r="W66" s="0" t="n">
        <v>65.903705</v>
      </c>
      <c r="X66" s="0" t="s">
        <v>470</v>
      </c>
      <c r="Y66" s="1" t="s">
        <v>5</v>
      </c>
      <c r="Z66" s="0" t="n">
        <v>42.461737</v>
      </c>
      <c r="AA66" s="0" t="s">
        <v>471</v>
      </c>
      <c r="AB66" s="1" t="s">
        <v>5</v>
      </c>
      <c r="AC66" s="0" t="n">
        <v>21.111933</v>
      </c>
      <c r="AD66" s="0" t="s">
        <v>486</v>
      </c>
      <c r="AE66" s="1" t="s">
        <v>5</v>
      </c>
      <c r="AF66" s="0" t="n">
        <v>21.142839</v>
      </c>
      <c r="AG66" s="0" t="s">
        <v>473</v>
      </c>
      <c r="AH66" s="1" t="s">
        <v>5</v>
      </c>
      <c r="AI66" s="0" t="n">
        <v>9.278042</v>
      </c>
      <c r="AJ66" s="0" t="s">
        <v>15</v>
      </c>
      <c r="AK66" s="1" t="s">
        <v>6</v>
      </c>
      <c r="AL66" s="0" t="s">
        <v>474</v>
      </c>
      <c r="AM66" s="0" t="s">
        <v>468</v>
      </c>
      <c r="AN66" s="0" t="s">
        <v>469</v>
      </c>
      <c r="AO66" s="0" t="n">
        <v>18.057492</v>
      </c>
      <c r="AP66" s="0" t="n">
        <v>-1</v>
      </c>
      <c r="AQ66" s="0" t="n">
        <v>0</v>
      </c>
      <c r="AR66" s="0" t="s">
        <v>649</v>
      </c>
      <c r="AS66" s="2" t="str">
        <f aca="false">IF(AND(G66="true",J66="true",M66="true",P66="true",S66="true"),"true","false")</f>
        <v>false</v>
      </c>
      <c r="AT66" s="0" t="str">
        <f aca="false">IF(AND(Y66="true",AB66="true",AE66="true",AH66="true",AK66="true"),"true","false")</f>
        <v>false</v>
      </c>
    </row>
    <row r="67" customFormat="false" ht="12.8" hidden="false" customHeight="false" outlineLevel="0" collapsed="false">
      <c r="A67" s="0" t="s">
        <v>650</v>
      </c>
      <c r="B67" s="0" t="s">
        <v>1</v>
      </c>
      <c r="C67" s="0" t="s">
        <v>474</v>
      </c>
      <c r="D67" s="0" t="s">
        <v>469</v>
      </c>
      <c r="E67" s="0" t="n">
        <v>58.869166</v>
      </c>
      <c r="F67" s="0" t="s">
        <v>480</v>
      </c>
      <c r="G67" s="1" t="s">
        <v>5</v>
      </c>
      <c r="H67" s="0" t="n">
        <v>20.420277</v>
      </c>
      <c r="I67" s="0" t="s">
        <v>476</v>
      </c>
      <c r="J67" s="1" t="s">
        <v>5</v>
      </c>
      <c r="K67" s="0" t="n">
        <v>15.508597</v>
      </c>
      <c r="L67" s="0" t="s">
        <v>502</v>
      </c>
      <c r="M67" s="1" t="s">
        <v>6</v>
      </c>
      <c r="N67" s="0" t="n">
        <v>53.864057</v>
      </c>
      <c r="O67" s="0" t="s">
        <v>525</v>
      </c>
      <c r="P67" s="1" t="s">
        <v>6</v>
      </c>
      <c r="Q67" s="0" t="n">
        <v>5.674998</v>
      </c>
      <c r="R67" s="0" t="s">
        <v>51</v>
      </c>
      <c r="S67" s="1" t="s">
        <v>5</v>
      </c>
      <c r="T67" s="0" t="s">
        <v>10</v>
      </c>
      <c r="U67" s="0" t="s">
        <v>468</v>
      </c>
      <c r="V67" s="0" t="s">
        <v>469</v>
      </c>
      <c r="W67" s="0" t="n">
        <v>44.259781</v>
      </c>
      <c r="X67" s="0" t="s">
        <v>470</v>
      </c>
      <c r="Y67" s="1" t="s">
        <v>5</v>
      </c>
      <c r="Z67" s="0" t="n">
        <v>20.612046</v>
      </c>
      <c r="AA67" s="0" t="s">
        <v>486</v>
      </c>
      <c r="AB67" s="1" t="s">
        <v>6</v>
      </c>
      <c r="AC67" s="0" t="n">
        <v>20.310477</v>
      </c>
      <c r="AD67" s="0" t="s">
        <v>471</v>
      </c>
      <c r="AE67" s="1" t="s">
        <v>6</v>
      </c>
      <c r="AF67" s="0" t="n">
        <v>25.459804</v>
      </c>
      <c r="AG67" s="0" t="s">
        <v>499</v>
      </c>
      <c r="AH67" s="1" t="s">
        <v>6</v>
      </c>
      <c r="AI67" s="0" t="n">
        <v>5.449428</v>
      </c>
      <c r="AJ67" s="0" t="s">
        <v>15</v>
      </c>
      <c r="AK67" s="1" t="s">
        <v>6</v>
      </c>
      <c r="AL67" s="0" t="s">
        <v>474</v>
      </c>
      <c r="AM67" s="0" t="s">
        <v>468</v>
      </c>
      <c r="AN67" s="0" t="s">
        <v>469</v>
      </c>
      <c r="AO67" s="0" t="n">
        <v>6.571846</v>
      </c>
      <c r="AP67" s="0" t="n">
        <v>-2</v>
      </c>
      <c r="AQ67" s="0" t="n">
        <v>1</v>
      </c>
      <c r="AS67" s="2" t="str">
        <f aca="false">IF(AND(G67="true",J67="true",M67="true",P67="true",S67="true"),"true","false")</f>
        <v>false</v>
      </c>
      <c r="AT67" s="0" t="str">
        <f aca="false">IF(AND(Y67="true",AB67="true",AE67="true",AH67="true",AK67="true"),"true","false")</f>
        <v>false</v>
      </c>
    </row>
    <row r="68" customFormat="false" ht="12.8" hidden="false" customHeight="false" outlineLevel="0" collapsed="false">
      <c r="A68" s="0" t="s">
        <v>651</v>
      </c>
      <c r="B68" s="0" t="s">
        <v>1</v>
      </c>
      <c r="C68" s="0" t="s">
        <v>468</v>
      </c>
      <c r="D68" s="0" t="s">
        <v>469</v>
      </c>
      <c r="E68" s="0" t="n">
        <v>70.784109</v>
      </c>
      <c r="F68" s="0" t="s">
        <v>470</v>
      </c>
      <c r="G68" s="1" t="s">
        <v>5</v>
      </c>
      <c r="H68" s="0" t="n">
        <v>50.360753</v>
      </c>
      <c r="I68" s="0" t="s">
        <v>471</v>
      </c>
      <c r="J68" s="1" t="s">
        <v>5</v>
      </c>
      <c r="K68" s="0" t="n">
        <v>13.016229</v>
      </c>
      <c r="L68" s="0" t="s">
        <v>549</v>
      </c>
      <c r="M68" s="1" t="s">
        <v>6</v>
      </c>
      <c r="N68" s="0" t="n">
        <v>18.1173</v>
      </c>
      <c r="O68" s="0" t="s">
        <v>473</v>
      </c>
      <c r="P68" s="1" t="s">
        <v>5</v>
      </c>
      <c r="Q68" s="0" t="n">
        <v>52.007075</v>
      </c>
      <c r="R68" s="0" t="s">
        <v>15</v>
      </c>
      <c r="S68" s="1" t="s">
        <v>6</v>
      </c>
      <c r="T68" s="0" t="s">
        <v>10</v>
      </c>
      <c r="U68" s="0" t="s">
        <v>474</v>
      </c>
      <c r="V68" s="0" t="s">
        <v>469</v>
      </c>
      <c r="W68" s="0" t="n">
        <v>3.605536</v>
      </c>
      <c r="X68" s="0" t="s">
        <v>652</v>
      </c>
      <c r="Y68" s="1" t="s">
        <v>6</v>
      </c>
      <c r="Z68" s="0" t="n">
        <v>0.925763</v>
      </c>
      <c r="AA68" s="0" t="s">
        <v>653</v>
      </c>
      <c r="AB68" s="1" t="s">
        <v>6</v>
      </c>
      <c r="AC68" s="0" t="n">
        <v>0.81608</v>
      </c>
      <c r="AD68" s="0" t="s">
        <v>653</v>
      </c>
      <c r="AE68" s="1" t="s">
        <v>6</v>
      </c>
      <c r="AF68" s="0" t="n">
        <v>1.320463</v>
      </c>
      <c r="AG68" s="0" t="s">
        <v>654</v>
      </c>
      <c r="AH68" s="1" t="s">
        <v>6</v>
      </c>
      <c r="AI68" s="0" t="n">
        <v>1.024601</v>
      </c>
      <c r="AJ68" s="0" t="s">
        <v>51</v>
      </c>
      <c r="AK68" s="1" t="s">
        <v>6</v>
      </c>
      <c r="AL68" s="0" t="s">
        <v>468</v>
      </c>
      <c r="AM68" s="0" t="s">
        <v>474</v>
      </c>
      <c r="AN68" s="0" t="s">
        <v>469</v>
      </c>
      <c r="AO68" s="0" t="n">
        <v>1.720148</v>
      </c>
      <c r="AP68" s="0" t="n">
        <v>0</v>
      </c>
      <c r="AQ68" s="0" t="n">
        <v>0</v>
      </c>
      <c r="AS68" s="2" t="str">
        <f aca="false">IF(AND(G68="true",J68="true",M68="true",P68="true",S68="true"),"true","false")</f>
        <v>false</v>
      </c>
      <c r="AT68" s="0" t="str">
        <f aca="false">IF(AND(Y68="true",AB68="true",AE68="true",AH68="true",AK68="true"),"true","false")</f>
        <v>false</v>
      </c>
    </row>
    <row r="69" customFormat="false" ht="12.8" hidden="false" customHeight="false" outlineLevel="0" collapsed="false">
      <c r="A69" s="0" t="s">
        <v>655</v>
      </c>
      <c r="B69" s="0" t="s">
        <v>1</v>
      </c>
      <c r="C69" s="0" t="s">
        <v>474</v>
      </c>
      <c r="D69" s="0" t="s">
        <v>469</v>
      </c>
      <c r="E69" s="0" t="n">
        <v>54.721737</v>
      </c>
      <c r="F69" s="0" t="s">
        <v>488</v>
      </c>
      <c r="G69" s="1" t="s">
        <v>6</v>
      </c>
      <c r="H69" s="0" t="n">
        <v>59.78816</v>
      </c>
      <c r="I69" s="0" t="s">
        <v>481</v>
      </c>
      <c r="J69" s="1" t="s">
        <v>6</v>
      </c>
      <c r="K69" s="0" t="n">
        <v>37.993487</v>
      </c>
      <c r="L69" s="0" t="s">
        <v>477</v>
      </c>
      <c r="M69" s="1" t="s">
        <v>5</v>
      </c>
      <c r="N69" s="0" t="n">
        <v>113.183611</v>
      </c>
      <c r="O69" s="0" t="s">
        <v>478</v>
      </c>
      <c r="P69" s="1" t="s">
        <v>5</v>
      </c>
      <c r="Q69" s="0" t="n">
        <v>23.756327</v>
      </c>
      <c r="R69" s="0" t="s">
        <v>51</v>
      </c>
      <c r="S69" s="1" t="s">
        <v>5</v>
      </c>
      <c r="T69" s="0" t="s">
        <v>10</v>
      </c>
      <c r="U69" s="0" t="s">
        <v>468</v>
      </c>
      <c r="V69" s="0" t="s">
        <v>469</v>
      </c>
      <c r="W69" s="0" t="n">
        <v>53.83054</v>
      </c>
      <c r="X69" s="0" t="s">
        <v>470</v>
      </c>
      <c r="Y69" s="1" t="s">
        <v>5</v>
      </c>
      <c r="Z69" s="0" t="n">
        <v>39.886457</v>
      </c>
      <c r="AA69" s="0" t="s">
        <v>494</v>
      </c>
      <c r="AB69" s="1" t="s">
        <v>6</v>
      </c>
      <c r="AC69" s="0" t="n">
        <v>11.341862</v>
      </c>
      <c r="AD69" s="0" t="s">
        <v>537</v>
      </c>
      <c r="AE69" s="1" t="s">
        <v>6</v>
      </c>
      <c r="AF69" s="0" t="n">
        <v>19.716683</v>
      </c>
      <c r="AG69" s="0" t="s">
        <v>656</v>
      </c>
      <c r="AH69" s="1" t="s">
        <v>6</v>
      </c>
      <c r="AI69" s="0" t="n">
        <v>10.364652</v>
      </c>
      <c r="AJ69" s="0" t="s">
        <v>15</v>
      </c>
      <c r="AK69" s="1" t="s">
        <v>6</v>
      </c>
      <c r="AL69" s="0" t="s">
        <v>474</v>
      </c>
      <c r="AM69" s="0" t="s">
        <v>468</v>
      </c>
      <c r="AN69" s="0" t="s">
        <v>469</v>
      </c>
      <c r="AO69" s="0" t="n">
        <v>3.721227</v>
      </c>
      <c r="AP69" s="0" t="n">
        <v>1</v>
      </c>
      <c r="AQ69" s="0" t="n">
        <v>1</v>
      </c>
      <c r="AS69" s="2" t="str">
        <f aca="false">IF(AND(G69="true",J69="true",M69="true",P69="true",S69="true"),"true","false")</f>
        <v>false</v>
      </c>
      <c r="AT69" s="0" t="str">
        <f aca="false">IF(AND(Y69="true",AB69="true",AE69="true",AH69="true",AK69="true"),"true","false")</f>
        <v>false</v>
      </c>
    </row>
    <row r="70" customFormat="false" ht="12.8" hidden="false" customHeight="false" outlineLevel="0" collapsed="false">
      <c r="A70" s="0" t="s">
        <v>657</v>
      </c>
      <c r="B70" s="0" t="s">
        <v>1</v>
      </c>
      <c r="C70" s="0" t="s">
        <v>468</v>
      </c>
      <c r="D70" s="0" t="s">
        <v>469</v>
      </c>
      <c r="E70" s="0" t="n">
        <v>39.252944</v>
      </c>
      <c r="F70" s="0" t="s">
        <v>470</v>
      </c>
      <c r="G70" s="1" t="s">
        <v>5</v>
      </c>
      <c r="H70" s="0" t="n">
        <v>27.554144</v>
      </c>
      <c r="I70" s="0" t="s">
        <v>471</v>
      </c>
      <c r="J70" s="1" t="s">
        <v>5</v>
      </c>
      <c r="K70" s="0" t="n">
        <v>29.560772</v>
      </c>
      <c r="L70" s="0" t="s">
        <v>486</v>
      </c>
      <c r="M70" s="1" t="s">
        <v>5</v>
      </c>
      <c r="N70" s="0" t="n">
        <v>15.539987</v>
      </c>
      <c r="O70" s="0" t="s">
        <v>473</v>
      </c>
      <c r="P70" s="1" t="s">
        <v>5</v>
      </c>
      <c r="Q70" s="0" t="n">
        <v>7.579623</v>
      </c>
      <c r="R70" s="0" t="s">
        <v>15</v>
      </c>
      <c r="S70" s="1" t="s">
        <v>6</v>
      </c>
      <c r="T70" s="0" t="s">
        <v>10</v>
      </c>
      <c r="U70" s="0" t="s">
        <v>474</v>
      </c>
      <c r="V70" s="0" t="s">
        <v>469</v>
      </c>
      <c r="W70" s="0" t="n">
        <v>53.549155</v>
      </c>
      <c r="X70" s="0" t="s">
        <v>480</v>
      </c>
      <c r="Y70" s="1" t="s">
        <v>5</v>
      </c>
      <c r="Z70" s="0" t="n">
        <v>43.832878</v>
      </c>
      <c r="AA70" s="0" t="s">
        <v>502</v>
      </c>
      <c r="AB70" s="1" t="s">
        <v>6</v>
      </c>
      <c r="AC70" s="0" t="n">
        <v>14.986727</v>
      </c>
      <c r="AD70" s="0" t="s">
        <v>501</v>
      </c>
      <c r="AE70" s="1" t="s">
        <v>6</v>
      </c>
      <c r="AF70" s="0" t="n">
        <v>23.719611</v>
      </c>
      <c r="AG70" s="0" t="s">
        <v>503</v>
      </c>
      <c r="AH70" s="1" t="s">
        <v>6</v>
      </c>
      <c r="AI70" s="0" t="n">
        <v>4.990582</v>
      </c>
      <c r="AJ70" s="0" t="s">
        <v>15</v>
      </c>
      <c r="AK70" s="1" t="s">
        <v>6</v>
      </c>
      <c r="AL70" s="0" t="s">
        <v>468</v>
      </c>
      <c r="AM70" s="0" t="s">
        <v>474</v>
      </c>
      <c r="AN70" s="0" t="s">
        <v>469</v>
      </c>
      <c r="AO70" s="0" t="n">
        <v>4.676097</v>
      </c>
      <c r="AP70" s="0" t="n">
        <v>2</v>
      </c>
      <c r="AQ70" s="0" t="n">
        <v>2</v>
      </c>
      <c r="AS70" s="2" t="str">
        <f aca="false">IF(AND(G70="true",J70="true",M70="true",P70="true",S70="true"),"true","false")</f>
        <v>false</v>
      </c>
      <c r="AT70" s="0" t="str">
        <f aca="false">IF(AND(Y70="true",AB70="true",AE70="true",AH70="true",AK70="true"),"true","false")</f>
        <v>false</v>
      </c>
    </row>
    <row r="71" customFormat="false" ht="12.8" hidden="false" customHeight="false" outlineLevel="0" collapsed="false">
      <c r="A71" s="0" t="s">
        <v>658</v>
      </c>
      <c r="B71" s="0" t="s">
        <v>1</v>
      </c>
      <c r="C71" s="0" t="s">
        <v>468</v>
      </c>
      <c r="D71" s="0" t="s">
        <v>469</v>
      </c>
      <c r="E71" s="0" t="n">
        <v>78.586674</v>
      </c>
      <c r="F71" s="0" t="s">
        <v>470</v>
      </c>
      <c r="G71" s="1" t="s">
        <v>5</v>
      </c>
      <c r="H71" s="0" t="n">
        <v>51.428097</v>
      </c>
      <c r="I71" s="0" t="s">
        <v>471</v>
      </c>
      <c r="J71" s="1" t="s">
        <v>5</v>
      </c>
      <c r="K71" s="0" t="n">
        <v>22.464539</v>
      </c>
      <c r="L71" s="0" t="s">
        <v>486</v>
      </c>
      <c r="M71" s="1" t="s">
        <v>5</v>
      </c>
      <c r="N71" s="0" t="n">
        <v>25.296352</v>
      </c>
      <c r="O71" s="0" t="s">
        <v>473</v>
      </c>
      <c r="P71" s="1" t="s">
        <v>5</v>
      </c>
      <c r="Q71" s="0" t="n">
        <v>16.1498</v>
      </c>
      <c r="R71" s="0" t="s">
        <v>9</v>
      </c>
      <c r="S71" s="1" t="s">
        <v>6</v>
      </c>
      <c r="T71" s="0" t="s">
        <v>10</v>
      </c>
      <c r="U71" s="0" t="s">
        <v>474</v>
      </c>
      <c r="V71" s="0" t="s">
        <v>469</v>
      </c>
      <c r="W71" s="0" t="n">
        <v>43.005728</v>
      </c>
      <c r="X71" s="0" t="s">
        <v>480</v>
      </c>
      <c r="Y71" s="1" t="s">
        <v>5</v>
      </c>
      <c r="Z71" s="0" t="n">
        <v>21.796095</v>
      </c>
      <c r="AA71" s="0" t="s">
        <v>501</v>
      </c>
      <c r="AB71" s="1" t="s">
        <v>6</v>
      </c>
      <c r="AC71" s="0" t="n">
        <v>28.226195</v>
      </c>
      <c r="AD71" s="0" t="s">
        <v>477</v>
      </c>
      <c r="AE71" s="1" t="s">
        <v>5</v>
      </c>
      <c r="AF71" s="0" t="n">
        <v>84.17107</v>
      </c>
      <c r="AG71" s="0" t="s">
        <v>478</v>
      </c>
      <c r="AH71" s="1" t="s">
        <v>5</v>
      </c>
      <c r="AI71" s="0" t="n">
        <v>11.105448</v>
      </c>
      <c r="AJ71" s="0" t="s">
        <v>9</v>
      </c>
      <c r="AK71" s="1" t="s">
        <v>5</v>
      </c>
      <c r="AL71" s="0" t="s">
        <v>468</v>
      </c>
      <c r="AM71" s="0" t="s">
        <v>474</v>
      </c>
      <c r="AN71" s="0" t="s">
        <v>469</v>
      </c>
      <c r="AO71" s="0" t="n">
        <v>8.801378</v>
      </c>
      <c r="AP71" s="0" t="n">
        <v>-2</v>
      </c>
      <c r="AQ71" s="0" t="n">
        <v>1</v>
      </c>
      <c r="AS71" s="2" t="str">
        <f aca="false">IF(AND(G71="true",J71="true",M71="true",P71="true",S71="true"),"true","false")</f>
        <v>false</v>
      </c>
      <c r="AT71" s="0" t="str">
        <f aca="false">IF(AND(Y71="true",AB71="true",AE71="true",AH71="true",AK71="true"),"true","false")</f>
        <v>false</v>
      </c>
    </row>
    <row r="72" customFormat="false" ht="12.8" hidden="false" customHeight="false" outlineLevel="0" collapsed="false">
      <c r="A72" s="0" t="s">
        <v>659</v>
      </c>
      <c r="B72" s="0" t="s">
        <v>1</v>
      </c>
      <c r="C72" s="0" t="s">
        <v>468</v>
      </c>
      <c r="D72" s="0" t="s">
        <v>469</v>
      </c>
      <c r="E72" s="0" t="n">
        <v>54.397917</v>
      </c>
      <c r="F72" s="0" t="s">
        <v>494</v>
      </c>
      <c r="G72" s="1" t="s">
        <v>6</v>
      </c>
      <c r="H72" s="0" t="n">
        <v>21.85085</v>
      </c>
      <c r="I72" s="0" t="s">
        <v>494</v>
      </c>
      <c r="J72" s="1" t="s">
        <v>6</v>
      </c>
      <c r="K72" s="0" t="n">
        <v>3.569336</v>
      </c>
      <c r="L72" s="0" t="s">
        <v>516</v>
      </c>
      <c r="M72" s="1" t="s">
        <v>6</v>
      </c>
      <c r="N72" s="0" t="n">
        <v>21.275524</v>
      </c>
      <c r="O72" s="0" t="s">
        <v>473</v>
      </c>
      <c r="P72" s="1" t="s">
        <v>5</v>
      </c>
      <c r="Q72" s="0" t="n">
        <v>42.528114</v>
      </c>
      <c r="R72" s="0" t="s">
        <v>9</v>
      </c>
      <c r="S72" s="1" t="s">
        <v>6</v>
      </c>
      <c r="T72" s="0" t="s">
        <v>10</v>
      </c>
      <c r="U72" s="0" t="s">
        <v>474</v>
      </c>
      <c r="V72" s="0" t="s">
        <v>469</v>
      </c>
      <c r="W72" s="0" t="n">
        <v>66.20265</v>
      </c>
      <c r="X72" s="0" t="s">
        <v>480</v>
      </c>
      <c r="Y72" s="1" t="s">
        <v>5</v>
      </c>
      <c r="Z72" s="0" t="n">
        <v>27.438606</v>
      </c>
      <c r="AA72" s="0" t="s">
        <v>476</v>
      </c>
      <c r="AB72" s="1" t="s">
        <v>5</v>
      </c>
      <c r="AC72" s="0" t="n">
        <v>12.623972</v>
      </c>
      <c r="AD72" s="0" t="s">
        <v>660</v>
      </c>
      <c r="AE72" s="1" t="s">
        <v>6</v>
      </c>
      <c r="AF72" s="0" t="n">
        <v>44.076484</v>
      </c>
      <c r="AG72" s="0" t="s">
        <v>478</v>
      </c>
      <c r="AH72" s="1" t="s">
        <v>5</v>
      </c>
      <c r="AI72" s="0" t="n">
        <v>24.138318</v>
      </c>
      <c r="AJ72" s="0" t="s">
        <v>9</v>
      </c>
      <c r="AK72" s="1" t="s">
        <v>5</v>
      </c>
      <c r="AL72" s="0" t="s">
        <v>468</v>
      </c>
      <c r="AM72" s="0" t="s">
        <v>474</v>
      </c>
      <c r="AN72" s="0" t="s">
        <v>469</v>
      </c>
      <c r="AO72" s="0" t="n">
        <v>5.377641</v>
      </c>
      <c r="AP72" s="0" t="n">
        <v>1</v>
      </c>
      <c r="AQ72" s="0" t="n">
        <v>1</v>
      </c>
      <c r="AS72" s="2" t="str">
        <f aca="false">IF(AND(G72="true",J72="true",M72="true",P72="true",S72="true"),"true","false")</f>
        <v>false</v>
      </c>
      <c r="AT72" s="0" t="str">
        <f aca="false">IF(AND(Y72="true",AB72="true",AE72="true",AH72="true",AK72="true"),"true","false")</f>
        <v>false</v>
      </c>
    </row>
    <row r="73" customFormat="false" ht="12.8" hidden="false" customHeight="false" outlineLevel="0" collapsed="false">
      <c r="A73" s="0" t="s">
        <v>661</v>
      </c>
      <c r="B73" s="0" t="s">
        <v>1</v>
      </c>
      <c r="C73" s="0" t="s">
        <v>468</v>
      </c>
      <c r="D73" s="0" t="s">
        <v>469</v>
      </c>
      <c r="E73" s="0" t="n">
        <v>176.397862</v>
      </c>
      <c r="F73" s="0" t="s">
        <v>470</v>
      </c>
      <c r="G73" s="1" t="s">
        <v>5</v>
      </c>
      <c r="H73" s="0" t="n">
        <v>47.012051</v>
      </c>
      <c r="I73" s="0" t="s">
        <v>662</v>
      </c>
      <c r="J73" s="1" t="s">
        <v>6</v>
      </c>
      <c r="K73" s="0" t="n">
        <v>28.595571</v>
      </c>
      <c r="L73" s="0" t="s">
        <v>486</v>
      </c>
      <c r="M73" s="1" t="s">
        <v>5</v>
      </c>
      <c r="N73" s="0" t="n">
        <v>25.444105</v>
      </c>
      <c r="O73" s="0" t="s">
        <v>579</v>
      </c>
      <c r="P73" s="1" t="s">
        <v>6</v>
      </c>
      <c r="Q73" s="0" t="n">
        <v>8.629784</v>
      </c>
      <c r="R73" s="0" t="s">
        <v>9</v>
      </c>
      <c r="S73" s="1" t="s">
        <v>6</v>
      </c>
      <c r="T73" s="0" t="s">
        <v>10</v>
      </c>
      <c r="U73" s="0" t="s">
        <v>474</v>
      </c>
      <c r="V73" s="0" t="s">
        <v>469</v>
      </c>
      <c r="W73" s="0" t="n">
        <v>1.732399</v>
      </c>
      <c r="Y73" s="1" t="s">
        <v>6</v>
      </c>
      <c r="Z73" s="0" t="n">
        <v>0.485915</v>
      </c>
      <c r="AB73" s="1" t="s">
        <v>6</v>
      </c>
      <c r="AC73" s="0" t="n">
        <v>0.383507</v>
      </c>
      <c r="AE73" s="1" t="s">
        <v>6</v>
      </c>
      <c r="AF73" s="0" t="n">
        <v>1.191436</v>
      </c>
      <c r="AH73" s="1" t="s">
        <v>6</v>
      </c>
      <c r="AI73" s="0" t="n">
        <v>0.600812</v>
      </c>
      <c r="AK73" s="1" t="s">
        <v>6</v>
      </c>
      <c r="AL73" s="0" t="s">
        <v>468</v>
      </c>
      <c r="AM73" s="0" t="s">
        <v>474</v>
      </c>
      <c r="AN73" s="0" t="s">
        <v>469</v>
      </c>
      <c r="AO73" s="0" t="n">
        <v>2.332605</v>
      </c>
      <c r="AS73" s="2" t="str">
        <f aca="false">IF(AND(G73="true",J73="true",M73="true",P73="true",S73="true"),"true","false")</f>
        <v>false</v>
      </c>
      <c r="AT73" s="0" t="str">
        <f aca="false">IF(AND(Y73="true",AB73="true",AE73="true",AH73="true",AK73="true"),"true","false")</f>
        <v>false</v>
      </c>
    </row>
    <row r="74" customFormat="false" ht="12.8" hidden="false" customHeight="false" outlineLevel="0" collapsed="false">
      <c r="A74" s="0" t="s">
        <v>663</v>
      </c>
      <c r="B74" s="0" t="s">
        <v>1</v>
      </c>
      <c r="C74" s="0" t="s">
        <v>474</v>
      </c>
      <c r="D74" s="0" t="s">
        <v>469</v>
      </c>
      <c r="E74" s="0" t="n">
        <v>63.978587</v>
      </c>
      <c r="F74" s="0" t="s">
        <v>480</v>
      </c>
      <c r="G74" s="1" t="s">
        <v>5</v>
      </c>
      <c r="H74" s="0" t="n">
        <v>41.613539</v>
      </c>
      <c r="I74" s="0" t="s">
        <v>476</v>
      </c>
      <c r="J74" s="1" t="s">
        <v>5</v>
      </c>
      <c r="K74" s="0" t="n">
        <v>24.057398</v>
      </c>
      <c r="L74" s="0" t="s">
        <v>477</v>
      </c>
      <c r="M74" s="1" t="s">
        <v>5</v>
      </c>
      <c r="N74" s="0" t="n">
        <v>46.596311</v>
      </c>
      <c r="O74" s="0" t="s">
        <v>478</v>
      </c>
      <c r="P74" s="1" t="s">
        <v>5</v>
      </c>
      <c r="Q74" s="0" t="n">
        <v>12.935381</v>
      </c>
      <c r="R74" s="0" t="s">
        <v>9</v>
      </c>
      <c r="S74" s="1" t="s">
        <v>6</v>
      </c>
      <c r="T74" s="0" t="s">
        <v>10</v>
      </c>
      <c r="U74" s="0" t="s">
        <v>468</v>
      </c>
      <c r="V74" s="0" t="s">
        <v>469</v>
      </c>
      <c r="W74" s="0" t="n">
        <v>65.28199</v>
      </c>
      <c r="X74" s="0" t="s">
        <v>470</v>
      </c>
      <c r="Y74" s="1" t="s">
        <v>5</v>
      </c>
      <c r="Z74" s="0" t="n">
        <v>25.414369</v>
      </c>
      <c r="AA74" s="0" t="s">
        <v>471</v>
      </c>
      <c r="AB74" s="1" t="s">
        <v>5</v>
      </c>
      <c r="AC74" s="0" t="n">
        <v>22.089186</v>
      </c>
      <c r="AD74" s="0" t="s">
        <v>664</v>
      </c>
      <c r="AE74" s="1" t="s">
        <v>6</v>
      </c>
      <c r="AF74" s="0" t="n">
        <v>22.09163</v>
      </c>
      <c r="AG74" s="0" t="s">
        <v>473</v>
      </c>
      <c r="AH74" s="1" t="s">
        <v>5</v>
      </c>
      <c r="AI74" s="0" t="n">
        <v>39.895722</v>
      </c>
      <c r="AJ74" s="0" t="s">
        <v>9</v>
      </c>
      <c r="AK74" s="1" t="s">
        <v>5</v>
      </c>
      <c r="AL74" s="0" t="s">
        <v>474</v>
      </c>
      <c r="AM74" s="0" t="s">
        <v>468</v>
      </c>
      <c r="AN74" s="0" t="s">
        <v>469</v>
      </c>
      <c r="AO74" s="0" t="n">
        <v>4.672663</v>
      </c>
      <c r="AP74" s="0" t="n">
        <v>-2</v>
      </c>
      <c r="AQ74" s="0" t="n">
        <v>0</v>
      </c>
      <c r="AS74" s="2" t="str">
        <f aca="false">IF(AND(G74="true",J74="true",M74="true",P74="true",S74="true"),"true","false")</f>
        <v>false</v>
      </c>
      <c r="AT74" s="0" t="str">
        <f aca="false">IF(AND(Y74="true",AB74="true",AE74="true",AH74="true",AK74="true"),"true","false")</f>
        <v>false</v>
      </c>
    </row>
    <row r="75" customFormat="false" ht="12.8" hidden="false" customHeight="false" outlineLevel="0" collapsed="false">
      <c r="A75" s="0" t="s">
        <v>665</v>
      </c>
      <c r="B75" s="0" t="s">
        <v>1</v>
      </c>
      <c r="C75" s="0" t="s">
        <v>468</v>
      </c>
      <c r="D75" s="0" t="s">
        <v>469</v>
      </c>
      <c r="E75" s="0" t="n">
        <v>101.117433</v>
      </c>
      <c r="F75" s="0" t="s">
        <v>470</v>
      </c>
      <c r="G75" s="1" t="s">
        <v>5</v>
      </c>
      <c r="H75" s="0" t="n">
        <v>46.448909</v>
      </c>
      <c r="I75" s="0" t="s">
        <v>471</v>
      </c>
      <c r="J75" s="1" t="s">
        <v>5</v>
      </c>
      <c r="K75" s="0" t="n">
        <v>28.65338</v>
      </c>
      <c r="L75" s="0" t="s">
        <v>486</v>
      </c>
      <c r="M75" s="1" t="s">
        <v>5</v>
      </c>
      <c r="N75" s="0" t="n">
        <v>25.594542</v>
      </c>
      <c r="O75" s="0" t="s">
        <v>473</v>
      </c>
      <c r="P75" s="1" t="s">
        <v>5</v>
      </c>
      <c r="Q75" s="0" t="n">
        <v>18.104806</v>
      </c>
      <c r="R75" s="0" t="s">
        <v>15</v>
      </c>
      <c r="S75" s="1" t="s">
        <v>6</v>
      </c>
      <c r="T75" s="0" t="s">
        <v>10</v>
      </c>
      <c r="U75" s="0" t="s">
        <v>474</v>
      </c>
      <c r="V75" s="0" t="s">
        <v>469</v>
      </c>
      <c r="W75" s="0" t="n">
        <v>49.551012</v>
      </c>
      <c r="X75" s="0" t="s">
        <v>480</v>
      </c>
      <c r="Y75" s="1" t="s">
        <v>5</v>
      </c>
      <c r="Z75" s="0" t="n">
        <v>22.609264</v>
      </c>
      <c r="AA75" s="0" t="s">
        <v>477</v>
      </c>
      <c r="AB75" s="1" t="s">
        <v>6</v>
      </c>
      <c r="AC75" s="0" t="n">
        <v>29.232677</v>
      </c>
      <c r="AD75" s="0" t="s">
        <v>476</v>
      </c>
      <c r="AE75" s="1" t="s">
        <v>6</v>
      </c>
      <c r="AF75" s="0" t="n">
        <v>46.861406</v>
      </c>
      <c r="AG75" s="0" t="s">
        <v>478</v>
      </c>
      <c r="AH75" s="1" t="s">
        <v>5</v>
      </c>
      <c r="AI75" s="0" t="n">
        <v>18.125464</v>
      </c>
      <c r="AJ75" s="0" t="s">
        <v>15</v>
      </c>
      <c r="AK75" s="1" t="s">
        <v>6</v>
      </c>
      <c r="AL75" s="0" t="s">
        <v>468</v>
      </c>
      <c r="AM75" s="0" t="s">
        <v>474</v>
      </c>
      <c r="AN75" s="0" t="s">
        <v>469</v>
      </c>
      <c r="AO75" s="0" t="n">
        <v>8.094388</v>
      </c>
      <c r="AP75" s="0" t="n">
        <v>-1</v>
      </c>
      <c r="AQ75" s="0" t="n">
        <v>2</v>
      </c>
      <c r="AS75" s="2" t="str">
        <f aca="false">IF(AND(G75="true",J75="true",M75="true",P75="true",S75="true"),"true","false")</f>
        <v>false</v>
      </c>
      <c r="AT75" s="0" t="str">
        <f aca="false">IF(AND(Y75="true",AB75="true",AE75="true",AH75="true",AK75="true"),"true","false")</f>
        <v>false</v>
      </c>
    </row>
    <row r="76" customFormat="false" ht="12.8" hidden="false" customHeight="false" outlineLevel="0" collapsed="false">
      <c r="A76" s="0" t="s">
        <v>666</v>
      </c>
      <c r="B76" s="0" t="s">
        <v>1</v>
      </c>
      <c r="C76" s="0" t="s">
        <v>468</v>
      </c>
      <c r="D76" s="0" t="s">
        <v>469</v>
      </c>
      <c r="E76" s="0" t="n">
        <v>59.859122</v>
      </c>
      <c r="F76" s="0" t="s">
        <v>667</v>
      </c>
      <c r="G76" s="1" t="s">
        <v>6</v>
      </c>
      <c r="H76" s="0" t="n">
        <v>35.226283</v>
      </c>
      <c r="I76" s="0" t="s">
        <v>471</v>
      </c>
      <c r="J76" s="1" t="s">
        <v>5</v>
      </c>
      <c r="K76" s="0" t="n">
        <v>29.591196</v>
      </c>
      <c r="L76" s="0" t="s">
        <v>486</v>
      </c>
      <c r="M76" s="1" t="s">
        <v>5</v>
      </c>
      <c r="N76" s="0" t="n">
        <v>13.511045</v>
      </c>
      <c r="O76" s="0" t="s">
        <v>473</v>
      </c>
      <c r="P76" s="1" t="s">
        <v>5</v>
      </c>
      <c r="Q76" s="0" t="n">
        <v>7.244802</v>
      </c>
      <c r="R76" s="0" t="s">
        <v>15</v>
      </c>
      <c r="S76" s="1" t="s">
        <v>6</v>
      </c>
      <c r="T76" s="0" t="s">
        <v>10</v>
      </c>
      <c r="U76" s="0" t="s">
        <v>474</v>
      </c>
      <c r="V76" s="0" t="s">
        <v>469</v>
      </c>
      <c r="W76" s="0" t="n">
        <v>54.659724</v>
      </c>
      <c r="X76" s="0" t="s">
        <v>480</v>
      </c>
      <c r="Y76" s="1" t="s">
        <v>5</v>
      </c>
      <c r="Z76" s="0" t="n">
        <v>29.818871</v>
      </c>
      <c r="AA76" s="0" t="s">
        <v>502</v>
      </c>
      <c r="AB76" s="1" t="s">
        <v>6</v>
      </c>
      <c r="AC76" s="0" t="n">
        <v>16.137873</v>
      </c>
      <c r="AD76" s="0" t="s">
        <v>501</v>
      </c>
      <c r="AE76" s="1" t="s">
        <v>6</v>
      </c>
      <c r="AF76" s="0" t="n">
        <v>44.571122</v>
      </c>
      <c r="AG76" s="0" t="s">
        <v>478</v>
      </c>
      <c r="AH76" s="1" t="s">
        <v>5</v>
      </c>
      <c r="AI76" s="0" t="n">
        <v>14.061804</v>
      </c>
      <c r="AJ76" s="0" t="s">
        <v>9</v>
      </c>
      <c r="AK76" s="1" t="s">
        <v>5</v>
      </c>
      <c r="AL76" s="0" t="s">
        <v>468</v>
      </c>
      <c r="AM76" s="0" t="s">
        <v>474</v>
      </c>
      <c r="AN76" s="0" t="s">
        <v>469</v>
      </c>
      <c r="AO76" s="0" t="n">
        <v>13.94019</v>
      </c>
      <c r="AP76" s="0" t="n">
        <v>0</v>
      </c>
      <c r="AQ76" s="0" t="n">
        <v>0</v>
      </c>
      <c r="AS76" s="2" t="str">
        <f aca="false">IF(AND(G76="true",J76="true",M76="true",P76="true",S76="true"),"true","false")</f>
        <v>false</v>
      </c>
      <c r="AT76" s="0" t="str">
        <f aca="false">IF(AND(Y76="true",AB76="true",AE76="true",AH76="true",AK76="true"),"true","false")</f>
        <v>false</v>
      </c>
    </row>
    <row r="77" customFormat="false" ht="12.8" hidden="false" customHeight="false" outlineLevel="0" collapsed="false">
      <c r="A77" s="0" t="s">
        <v>668</v>
      </c>
      <c r="B77" s="0" t="s">
        <v>1</v>
      </c>
      <c r="C77" s="0" t="s">
        <v>468</v>
      </c>
      <c r="D77" s="0" t="s">
        <v>469</v>
      </c>
      <c r="E77" s="0" t="n">
        <v>66.376716</v>
      </c>
      <c r="F77" s="0" t="s">
        <v>470</v>
      </c>
      <c r="G77" s="1" t="s">
        <v>5</v>
      </c>
      <c r="H77" s="0" t="n">
        <v>38.976637</v>
      </c>
      <c r="I77" s="0" t="s">
        <v>494</v>
      </c>
      <c r="J77" s="1" t="s">
        <v>6</v>
      </c>
      <c r="K77" s="0" t="n">
        <v>27.722457</v>
      </c>
      <c r="L77" s="0" t="s">
        <v>486</v>
      </c>
      <c r="M77" s="1" t="s">
        <v>5</v>
      </c>
      <c r="N77" s="0" t="n">
        <v>17.670757</v>
      </c>
      <c r="O77" s="0" t="s">
        <v>473</v>
      </c>
      <c r="P77" s="1" t="s">
        <v>5</v>
      </c>
      <c r="Q77" s="0" t="n">
        <v>15.396553</v>
      </c>
      <c r="R77" s="0" t="s">
        <v>15</v>
      </c>
      <c r="S77" s="1" t="s">
        <v>6</v>
      </c>
      <c r="T77" s="0" t="s">
        <v>10</v>
      </c>
      <c r="U77" s="0" t="s">
        <v>474</v>
      </c>
      <c r="V77" s="0" t="s">
        <v>469</v>
      </c>
      <c r="W77" s="0" t="n">
        <v>36.036377</v>
      </c>
      <c r="X77" s="0" t="s">
        <v>480</v>
      </c>
      <c r="Y77" s="1" t="s">
        <v>5</v>
      </c>
      <c r="Z77" s="0" t="n">
        <v>19.439142</v>
      </c>
      <c r="AA77" s="0" t="s">
        <v>501</v>
      </c>
      <c r="AB77" s="1" t="s">
        <v>6</v>
      </c>
      <c r="AC77" s="0" t="n">
        <v>8.362799</v>
      </c>
      <c r="AD77" s="0" t="s">
        <v>502</v>
      </c>
      <c r="AE77" s="1" t="s">
        <v>6</v>
      </c>
      <c r="AF77" s="0" t="n">
        <v>23.150321</v>
      </c>
      <c r="AG77" s="0" t="s">
        <v>669</v>
      </c>
      <c r="AH77" s="1" t="s">
        <v>6</v>
      </c>
      <c r="AI77" s="0" t="n">
        <v>2.910715</v>
      </c>
      <c r="AJ77" s="0" t="s">
        <v>9</v>
      </c>
      <c r="AK77" s="1" t="s">
        <v>5</v>
      </c>
      <c r="AL77" s="0" t="s">
        <v>468</v>
      </c>
      <c r="AM77" s="0" t="s">
        <v>474</v>
      </c>
      <c r="AN77" s="0" t="s">
        <v>469</v>
      </c>
      <c r="AO77" s="0" t="n">
        <v>9.596382</v>
      </c>
      <c r="AP77" s="0" t="n">
        <v>-1</v>
      </c>
      <c r="AQ77" s="0" t="n">
        <v>1</v>
      </c>
      <c r="AS77" s="2" t="str">
        <f aca="false">IF(AND(G77="true",J77="true",M77="true",P77="true",S77="true"),"true","false")</f>
        <v>false</v>
      </c>
      <c r="AT77" s="0" t="str">
        <f aca="false">IF(AND(Y77="true",AB77="true",AE77="true",AH77="true",AK77="true"),"true","false")</f>
        <v>false</v>
      </c>
    </row>
    <row r="78" customFormat="false" ht="12.8" hidden="false" customHeight="false" outlineLevel="0" collapsed="false">
      <c r="A78" s="0" t="s">
        <v>670</v>
      </c>
      <c r="B78" s="0" t="s">
        <v>1</v>
      </c>
      <c r="C78" s="0" t="s">
        <v>474</v>
      </c>
      <c r="D78" s="0" t="s">
        <v>469</v>
      </c>
      <c r="E78" s="0" t="n">
        <v>119.247594</v>
      </c>
      <c r="F78" s="0" t="s">
        <v>480</v>
      </c>
      <c r="G78" s="1" t="s">
        <v>5</v>
      </c>
      <c r="H78" s="0" t="n">
        <v>24.80923</v>
      </c>
      <c r="I78" s="0" t="s">
        <v>481</v>
      </c>
      <c r="J78" s="1" t="s">
        <v>6</v>
      </c>
      <c r="K78" s="0" t="n">
        <v>21.144913</v>
      </c>
      <c r="L78" s="0" t="s">
        <v>477</v>
      </c>
      <c r="M78" s="1" t="s">
        <v>5</v>
      </c>
      <c r="N78" s="0" t="n">
        <v>91.594764</v>
      </c>
      <c r="O78" s="0" t="s">
        <v>671</v>
      </c>
      <c r="P78" s="1" t="s">
        <v>6</v>
      </c>
      <c r="Q78" s="0" t="n">
        <v>5.26056</v>
      </c>
      <c r="R78" s="0" t="s">
        <v>51</v>
      </c>
      <c r="S78" s="1" t="s">
        <v>5</v>
      </c>
      <c r="T78" s="0" t="s">
        <v>10</v>
      </c>
      <c r="U78" s="0" t="s">
        <v>468</v>
      </c>
      <c r="V78" s="0" t="s">
        <v>469</v>
      </c>
      <c r="W78" s="0" t="n">
        <v>42.970024</v>
      </c>
      <c r="X78" s="0" t="s">
        <v>470</v>
      </c>
      <c r="Y78" s="1" t="s">
        <v>5</v>
      </c>
      <c r="Z78" s="0" t="n">
        <v>54.864802</v>
      </c>
      <c r="AA78" s="0" t="s">
        <v>590</v>
      </c>
      <c r="AB78" s="1" t="s">
        <v>6</v>
      </c>
      <c r="AC78" s="0" t="n">
        <v>21.741215</v>
      </c>
      <c r="AD78" s="0" t="s">
        <v>486</v>
      </c>
      <c r="AE78" s="1" t="s">
        <v>5</v>
      </c>
      <c r="AF78" s="0" t="n">
        <v>36.9005</v>
      </c>
      <c r="AG78" s="0" t="s">
        <v>473</v>
      </c>
      <c r="AH78" s="1" t="s">
        <v>5</v>
      </c>
      <c r="AI78" s="0" t="n">
        <v>17.528049</v>
      </c>
      <c r="AJ78" s="0" t="s">
        <v>9</v>
      </c>
      <c r="AK78" s="1" t="s">
        <v>5</v>
      </c>
      <c r="AL78" s="0" t="s">
        <v>474</v>
      </c>
      <c r="AM78" s="0" t="s">
        <v>468</v>
      </c>
      <c r="AN78" s="0" t="s">
        <v>469</v>
      </c>
      <c r="AO78" s="0" t="n">
        <v>10.858644</v>
      </c>
      <c r="AP78" s="0" t="n">
        <v>1</v>
      </c>
      <c r="AQ78" s="0" t="n">
        <v>2</v>
      </c>
      <c r="AR78" s="0" t="s">
        <v>52</v>
      </c>
      <c r="AS78" s="2" t="str">
        <f aca="false">IF(AND(G78="true",J78="true",M78="true",P78="true",S78="true"),"true","false")</f>
        <v>false</v>
      </c>
      <c r="AT78" s="0" t="str">
        <f aca="false">IF(AND(Y78="true",AB78="true",AE78="true",AH78="true",AK78="true"),"true","false")</f>
        <v>false</v>
      </c>
    </row>
    <row r="79" customFormat="false" ht="12.8" hidden="false" customHeight="false" outlineLevel="0" collapsed="false">
      <c r="A79" s="0" t="s">
        <v>672</v>
      </c>
      <c r="B79" s="0" t="s">
        <v>1</v>
      </c>
      <c r="C79" s="0" t="s">
        <v>468</v>
      </c>
      <c r="D79" s="0" t="s">
        <v>469</v>
      </c>
      <c r="E79" s="0" t="n">
        <v>50.444045</v>
      </c>
      <c r="F79" s="0" t="s">
        <v>485</v>
      </c>
      <c r="G79" s="1" t="s">
        <v>6</v>
      </c>
      <c r="H79" s="0" t="n">
        <v>28.898048</v>
      </c>
      <c r="I79" s="0" t="s">
        <v>485</v>
      </c>
      <c r="J79" s="1" t="s">
        <v>6</v>
      </c>
      <c r="K79" s="0" t="n">
        <v>18.679136</v>
      </c>
      <c r="L79" s="0" t="s">
        <v>486</v>
      </c>
      <c r="M79" s="1" t="s">
        <v>5</v>
      </c>
      <c r="N79" s="0" t="n">
        <v>27.969903</v>
      </c>
      <c r="O79" s="0" t="s">
        <v>473</v>
      </c>
      <c r="P79" s="1" t="s">
        <v>5</v>
      </c>
      <c r="Q79" s="0" t="n">
        <v>4.314735</v>
      </c>
      <c r="R79" s="0" t="s">
        <v>15</v>
      </c>
      <c r="S79" s="1" t="s">
        <v>6</v>
      </c>
      <c r="T79" s="0" t="s">
        <v>10</v>
      </c>
      <c r="U79" s="0" t="s">
        <v>474</v>
      </c>
      <c r="V79" s="0" t="s">
        <v>469</v>
      </c>
      <c r="W79" s="0" t="n">
        <v>5.473046</v>
      </c>
      <c r="X79" s="0" t="s">
        <v>673</v>
      </c>
      <c r="Y79" s="1" t="s">
        <v>6</v>
      </c>
      <c r="Z79" s="0" t="n">
        <v>2.345705</v>
      </c>
      <c r="AA79" s="0" t="s">
        <v>674</v>
      </c>
      <c r="AB79" s="1" t="s">
        <v>6</v>
      </c>
      <c r="AC79" s="0" t="n">
        <v>3.289892</v>
      </c>
      <c r="AD79" s="0" t="s">
        <v>675</v>
      </c>
      <c r="AE79" s="1" t="s">
        <v>6</v>
      </c>
      <c r="AF79" s="0" t="n">
        <v>2.786079</v>
      </c>
      <c r="AG79" s="0" t="s">
        <v>65</v>
      </c>
      <c r="AH79" s="1" t="s">
        <v>6</v>
      </c>
      <c r="AI79" s="0" t="n">
        <v>13.585857</v>
      </c>
      <c r="AJ79" s="0" t="s">
        <v>15</v>
      </c>
      <c r="AK79" s="1" t="s">
        <v>6</v>
      </c>
      <c r="AL79" s="0" t="s">
        <v>468</v>
      </c>
      <c r="AM79" s="0" t="s">
        <v>474</v>
      </c>
      <c r="AN79" s="0" t="s">
        <v>469</v>
      </c>
      <c r="AO79" s="0" t="n">
        <v>5.16514</v>
      </c>
      <c r="AP79" s="0" t="n">
        <v>2</v>
      </c>
      <c r="AQ79" s="0" t="n">
        <v>2</v>
      </c>
      <c r="AS79" s="2" t="str">
        <f aca="false">IF(AND(G79="true",J79="true",M79="true",P79="true",S79="true"),"true","false")</f>
        <v>false</v>
      </c>
      <c r="AT79" s="0" t="str">
        <f aca="false">IF(AND(Y79="true",AB79="true",AE79="true",AH79="true",AK79="true"),"true","false")</f>
        <v>false</v>
      </c>
    </row>
    <row r="80" customFormat="false" ht="12.8" hidden="false" customHeight="false" outlineLevel="0" collapsed="false">
      <c r="A80" s="0" t="s">
        <v>676</v>
      </c>
      <c r="B80" s="0" t="s">
        <v>1</v>
      </c>
      <c r="C80" s="0" t="s">
        <v>468</v>
      </c>
      <c r="D80" s="0" t="s">
        <v>469</v>
      </c>
      <c r="E80" s="0" t="n">
        <v>84.494467</v>
      </c>
      <c r="F80" s="0" t="s">
        <v>470</v>
      </c>
      <c r="G80" s="1" t="s">
        <v>5</v>
      </c>
      <c r="H80" s="0" t="n">
        <v>34.895029</v>
      </c>
      <c r="I80" s="0" t="s">
        <v>506</v>
      </c>
      <c r="J80" s="1" t="s">
        <v>6</v>
      </c>
      <c r="K80" s="0" t="n">
        <v>26.019858</v>
      </c>
      <c r="L80" s="0" t="s">
        <v>486</v>
      </c>
      <c r="M80" s="1" t="s">
        <v>5</v>
      </c>
      <c r="N80" s="0" t="n">
        <v>54.666989</v>
      </c>
      <c r="O80" s="0" t="s">
        <v>473</v>
      </c>
      <c r="P80" s="1" t="s">
        <v>5</v>
      </c>
      <c r="Q80" s="0" t="n">
        <v>8.529684</v>
      </c>
      <c r="R80" s="0" t="s">
        <v>15</v>
      </c>
      <c r="S80" s="1" t="s">
        <v>6</v>
      </c>
      <c r="T80" s="0" t="s">
        <v>10</v>
      </c>
      <c r="U80" s="0" t="s">
        <v>474</v>
      </c>
      <c r="V80" s="0" t="s">
        <v>469</v>
      </c>
      <c r="W80" s="0" t="n">
        <v>70.826512</v>
      </c>
      <c r="X80" s="0" t="s">
        <v>480</v>
      </c>
      <c r="Y80" s="1" t="s">
        <v>5</v>
      </c>
      <c r="Z80" s="0" t="n">
        <v>35.996382</v>
      </c>
      <c r="AA80" s="0" t="s">
        <v>677</v>
      </c>
      <c r="AB80" s="1" t="s">
        <v>6</v>
      </c>
      <c r="AC80" s="0" t="n">
        <v>19.225717</v>
      </c>
      <c r="AD80" s="0" t="s">
        <v>484</v>
      </c>
      <c r="AE80" s="1" t="s">
        <v>6</v>
      </c>
      <c r="AF80" s="0" t="n">
        <v>61.203365</v>
      </c>
      <c r="AG80" s="0" t="s">
        <v>478</v>
      </c>
      <c r="AH80" s="1" t="s">
        <v>5</v>
      </c>
      <c r="AI80" s="0" t="n">
        <v>9.850066</v>
      </c>
      <c r="AJ80" s="0" t="s">
        <v>15</v>
      </c>
      <c r="AK80" s="1" t="s">
        <v>6</v>
      </c>
      <c r="AL80" s="0" t="s">
        <v>468</v>
      </c>
      <c r="AM80" s="0" t="s">
        <v>474</v>
      </c>
      <c r="AN80" s="0" t="s">
        <v>469</v>
      </c>
      <c r="AO80" s="0" t="n">
        <v>4.575894</v>
      </c>
      <c r="AP80" s="0" t="n">
        <v>0</v>
      </c>
      <c r="AQ80" s="0" t="n">
        <v>0</v>
      </c>
      <c r="AS80" s="2" t="str">
        <f aca="false">IF(AND(G80="true",J80="true",M80="true",P80="true",S80="true"),"true","false")</f>
        <v>false</v>
      </c>
      <c r="AT80" s="0" t="str">
        <f aca="false">IF(AND(Y80="true",AB80="true",AE80="true",AH80="true",AK80="true"),"true","false")</f>
        <v>false</v>
      </c>
    </row>
    <row r="81" customFormat="false" ht="12.8" hidden="false" customHeight="false" outlineLevel="0" collapsed="false">
      <c r="A81" s="0" t="s">
        <v>678</v>
      </c>
      <c r="B81" s="0" t="s">
        <v>1</v>
      </c>
      <c r="C81" s="0" t="s">
        <v>468</v>
      </c>
      <c r="D81" s="0" t="s">
        <v>469</v>
      </c>
      <c r="E81" s="0" t="n">
        <v>62.513281</v>
      </c>
      <c r="F81" s="0" t="s">
        <v>470</v>
      </c>
      <c r="G81" s="1" t="s">
        <v>5</v>
      </c>
      <c r="H81" s="0" t="n">
        <v>56.662156</v>
      </c>
      <c r="I81" s="0" t="s">
        <v>679</v>
      </c>
      <c r="J81" s="1" t="s">
        <v>6</v>
      </c>
      <c r="K81" s="0" t="n">
        <v>17.638788</v>
      </c>
      <c r="L81" s="0" t="s">
        <v>486</v>
      </c>
      <c r="M81" s="1" t="s">
        <v>5</v>
      </c>
      <c r="N81" s="0" t="n">
        <v>18.181322</v>
      </c>
      <c r="O81" s="0" t="s">
        <v>473</v>
      </c>
      <c r="P81" s="1" t="s">
        <v>5</v>
      </c>
      <c r="Q81" s="0" t="n">
        <v>21.272699</v>
      </c>
      <c r="R81" s="0" t="s">
        <v>15</v>
      </c>
      <c r="S81" s="1" t="s">
        <v>6</v>
      </c>
      <c r="T81" s="0" t="s">
        <v>10</v>
      </c>
      <c r="U81" s="0" t="s">
        <v>474</v>
      </c>
      <c r="V81" s="0" t="s">
        <v>469</v>
      </c>
      <c r="W81" s="0" t="n">
        <v>26.776808</v>
      </c>
      <c r="X81" s="0" t="s">
        <v>480</v>
      </c>
      <c r="Y81" s="1" t="s">
        <v>5</v>
      </c>
      <c r="Z81" s="0" t="n">
        <v>18.701129</v>
      </c>
      <c r="AA81" s="0" t="s">
        <v>476</v>
      </c>
      <c r="AB81" s="1" t="s">
        <v>5</v>
      </c>
      <c r="AC81" s="0" t="n">
        <v>15.62093</v>
      </c>
      <c r="AD81" s="0" t="s">
        <v>477</v>
      </c>
      <c r="AE81" s="1" t="s">
        <v>5</v>
      </c>
      <c r="AF81" s="0" t="n">
        <v>47.741091</v>
      </c>
      <c r="AG81" s="0" t="s">
        <v>680</v>
      </c>
      <c r="AH81" s="1" t="s">
        <v>6</v>
      </c>
      <c r="AI81" s="0" t="n">
        <v>18.134607</v>
      </c>
      <c r="AJ81" s="0" t="s">
        <v>15</v>
      </c>
      <c r="AK81" s="1" t="s">
        <v>6</v>
      </c>
      <c r="AL81" s="0" t="s">
        <v>468</v>
      </c>
      <c r="AM81" s="0" t="s">
        <v>474</v>
      </c>
      <c r="AN81" s="0" t="s">
        <v>469</v>
      </c>
      <c r="AO81" s="0" t="n">
        <v>58.451496</v>
      </c>
      <c r="AP81" s="0" t="n">
        <v>-2</v>
      </c>
      <c r="AQ81" s="0" t="n">
        <v>-1</v>
      </c>
      <c r="AR81" s="0" t="s">
        <v>681</v>
      </c>
      <c r="AS81" s="2" t="str">
        <f aca="false">IF(AND(G81="true",J81="true",M81="true",P81="true",S81="true"),"true","false")</f>
        <v>false</v>
      </c>
      <c r="AT81" s="0" t="str">
        <f aca="false">IF(AND(Y81="true",AB81="true",AE81="true",AH81="true",AK81="true"),"true","false")</f>
        <v>false</v>
      </c>
    </row>
    <row r="82" customFormat="false" ht="12.8" hidden="false" customHeight="false" outlineLevel="0" collapsed="false">
      <c r="A82" s="0" t="s">
        <v>682</v>
      </c>
      <c r="B82" s="0" t="s">
        <v>1</v>
      </c>
      <c r="C82" s="0" t="s">
        <v>468</v>
      </c>
      <c r="D82" s="0" t="s">
        <v>469</v>
      </c>
      <c r="E82" s="0" t="n">
        <v>50.527952</v>
      </c>
      <c r="F82" s="0" t="s">
        <v>470</v>
      </c>
      <c r="G82" s="1" t="s">
        <v>5</v>
      </c>
      <c r="H82" s="0" t="n">
        <v>41.403502</v>
      </c>
      <c r="I82" s="0" t="s">
        <v>471</v>
      </c>
      <c r="J82" s="1" t="s">
        <v>5</v>
      </c>
      <c r="K82" s="0" t="n">
        <v>15.442248</v>
      </c>
      <c r="L82" s="0" t="s">
        <v>549</v>
      </c>
      <c r="M82" s="1" t="s">
        <v>6</v>
      </c>
      <c r="N82" s="0" t="n">
        <v>17.82006</v>
      </c>
      <c r="O82" s="0" t="s">
        <v>473</v>
      </c>
      <c r="P82" s="1" t="s">
        <v>5</v>
      </c>
      <c r="Q82" s="0" t="n">
        <v>15.683406</v>
      </c>
      <c r="R82" s="0" t="s">
        <v>51</v>
      </c>
      <c r="S82" s="1" t="s">
        <v>5</v>
      </c>
      <c r="T82" s="0" t="s">
        <v>10</v>
      </c>
      <c r="U82" s="0" t="s">
        <v>474</v>
      </c>
      <c r="V82" s="0" t="s">
        <v>469</v>
      </c>
      <c r="W82" s="0" t="n">
        <v>38.205204</v>
      </c>
      <c r="X82" s="0" t="s">
        <v>480</v>
      </c>
      <c r="Y82" s="1" t="s">
        <v>5</v>
      </c>
      <c r="Z82" s="0" t="n">
        <v>22.350825</v>
      </c>
      <c r="AA82" s="0" t="s">
        <v>476</v>
      </c>
      <c r="AB82" s="1" t="s">
        <v>5</v>
      </c>
      <c r="AC82" s="0" t="n">
        <v>18.81423</v>
      </c>
      <c r="AD82" s="0" t="s">
        <v>477</v>
      </c>
      <c r="AE82" s="1" t="s">
        <v>5</v>
      </c>
      <c r="AF82" s="0" t="n">
        <v>63.608454</v>
      </c>
      <c r="AG82" s="0" t="s">
        <v>478</v>
      </c>
      <c r="AH82" s="1" t="s">
        <v>5</v>
      </c>
      <c r="AI82" s="0" t="n">
        <v>17.934889</v>
      </c>
      <c r="AJ82" s="0" t="s">
        <v>9</v>
      </c>
      <c r="AK82" s="1" t="s">
        <v>5</v>
      </c>
      <c r="AL82" s="0" t="s">
        <v>468</v>
      </c>
      <c r="AM82" s="0" t="s">
        <v>474</v>
      </c>
      <c r="AN82" s="0" t="s">
        <v>469</v>
      </c>
      <c r="AO82" s="0" t="n">
        <v>12.8823</v>
      </c>
      <c r="AP82" s="0" t="n">
        <v>-2</v>
      </c>
      <c r="AQ82" s="0" t="n">
        <v>1</v>
      </c>
      <c r="AS82" s="2" t="str">
        <f aca="false">IF(AND(G82="true",J82="true",M82="true",P82="true",S82="true"),"true","false")</f>
        <v>false</v>
      </c>
      <c r="AT82" s="0" t="str">
        <f aca="false">IF(AND(Y82="true",AB82="true",AE82="true",AH82="true",AK82="true"),"true","false")</f>
        <v>true</v>
      </c>
    </row>
    <row r="83" customFormat="false" ht="12.8" hidden="false" customHeight="false" outlineLevel="0" collapsed="false">
      <c r="A83" s="0" t="s">
        <v>683</v>
      </c>
      <c r="B83" s="0" t="s">
        <v>1</v>
      </c>
      <c r="C83" s="0" t="s">
        <v>474</v>
      </c>
      <c r="D83" s="0" t="s">
        <v>469</v>
      </c>
      <c r="E83" s="0" t="n">
        <v>71.890214</v>
      </c>
      <c r="F83" s="0" t="s">
        <v>480</v>
      </c>
      <c r="G83" s="1" t="s">
        <v>5</v>
      </c>
      <c r="H83" s="0" t="n">
        <v>24.904684</v>
      </c>
      <c r="I83" s="0" t="s">
        <v>476</v>
      </c>
      <c r="J83" s="1" t="s">
        <v>5</v>
      </c>
      <c r="K83" s="0" t="n">
        <v>22.817868</v>
      </c>
      <c r="L83" s="0" t="s">
        <v>484</v>
      </c>
      <c r="M83" s="1" t="s">
        <v>6</v>
      </c>
      <c r="N83" s="0" t="n">
        <v>114.893578</v>
      </c>
      <c r="O83" s="0" t="s">
        <v>478</v>
      </c>
      <c r="P83" s="1" t="s">
        <v>5</v>
      </c>
      <c r="Q83" s="0" t="n">
        <v>15.030773</v>
      </c>
      <c r="R83" s="0" t="s">
        <v>15</v>
      </c>
      <c r="S83" s="1" t="s">
        <v>6</v>
      </c>
      <c r="T83" s="0" t="s">
        <v>10</v>
      </c>
      <c r="U83" s="0" t="s">
        <v>468</v>
      </c>
      <c r="V83" s="0" t="s">
        <v>469</v>
      </c>
      <c r="W83" s="0" t="n">
        <v>109.053717</v>
      </c>
      <c r="X83" s="0" t="s">
        <v>470</v>
      </c>
      <c r="Y83" s="1" t="s">
        <v>5</v>
      </c>
      <c r="Z83" s="0" t="n">
        <v>30.315057</v>
      </c>
      <c r="AA83" s="0" t="s">
        <v>471</v>
      </c>
      <c r="AB83" s="1" t="s">
        <v>5</v>
      </c>
      <c r="AC83" s="0" t="n">
        <v>34.423471</v>
      </c>
      <c r="AD83" s="0" t="s">
        <v>486</v>
      </c>
      <c r="AE83" s="1" t="s">
        <v>5</v>
      </c>
      <c r="AF83" s="0" t="n">
        <v>27.291906</v>
      </c>
      <c r="AG83" s="0" t="s">
        <v>473</v>
      </c>
      <c r="AH83" s="1" t="s">
        <v>5</v>
      </c>
      <c r="AI83" s="0" t="n">
        <v>18.197783</v>
      </c>
      <c r="AJ83" s="0" t="s">
        <v>15</v>
      </c>
      <c r="AK83" s="1" t="s">
        <v>6</v>
      </c>
      <c r="AL83" s="0" t="s">
        <v>474</v>
      </c>
      <c r="AM83" s="0" t="s">
        <v>468</v>
      </c>
      <c r="AN83" s="0" t="s">
        <v>469</v>
      </c>
      <c r="AO83" s="0" t="n">
        <v>7.605325</v>
      </c>
      <c r="AP83" s="0" t="n">
        <v>-2</v>
      </c>
      <c r="AQ83" s="0" t="n">
        <v>2</v>
      </c>
      <c r="AS83" s="2" t="str">
        <f aca="false">IF(AND(G83="true",J83="true",M83="true",P83="true",S83="true"),"true","false")</f>
        <v>false</v>
      </c>
      <c r="AT83" s="0" t="str">
        <f aca="false">IF(AND(Y83="true",AB83="true",AE83="true",AH83="true",AK83="true"),"true","false")</f>
        <v>false</v>
      </c>
    </row>
    <row r="84" customFormat="false" ht="12.8" hidden="false" customHeight="false" outlineLevel="0" collapsed="false">
      <c r="A84" s="0" t="s">
        <v>684</v>
      </c>
      <c r="B84" s="0" t="s">
        <v>1</v>
      </c>
      <c r="C84" s="0" t="s">
        <v>468</v>
      </c>
      <c r="D84" s="0" t="s">
        <v>469</v>
      </c>
      <c r="E84" s="0" t="n">
        <v>85.55814</v>
      </c>
      <c r="F84" s="0" t="s">
        <v>623</v>
      </c>
      <c r="G84" s="1" t="s">
        <v>6</v>
      </c>
      <c r="H84" s="0" t="n">
        <v>54.398846</v>
      </c>
      <c r="I84" s="0" t="s">
        <v>486</v>
      </c>
      <c r="J84" s="1" t="s">
        <v>6</v>
      </c>
      <c r="K84" s="0" t="n">
        <v>31.912986</v>
      </c>
      <c r="L84" s="0" t="s">
        <v>485</v>
      </c>
      <c r="M84" s="1" t="s">
        <v>6</v>
      </c>
      <c r="N84" s="0" t="n">
        <v>15.727514</v>
      </c>
      <c r="O84" s="0" t="s">
        <v>473</v>
      </c>
      <c r="P84" s="1" t="s">
        <v>5</v>
      </c>
      <c r="Q84" s="0" t="n">
        <v>15.104602</v>
      </c>
      <c r="S84" s="1" t="s">
        <v>6</v>
      </c>
      <c r="T84" s="0" t="s">
        <v>10</v>
      </c>
      <c r="U84" s="0" t="s">
        <v>474</v>
      </c>
      <c r="V84" s="0" t="s">
        <v>469</v>
      </c>
      <c r="W84" s="0" t="n">
        <v>4.522274</v>
      </c>
      <c r="Y84" s="1" t="s">
        <v>6</v>
      </c>
      <c r="Z84" s="0" t="n">
        <v>2.322979</v>
      </c>
      <c r="AB84" s="1" t="s">
        <v>6</v>
      </c>
      <c r="AC84" s="0" t="n">
        <v>2.789748</v>
      </c>
      <c r="AE84" s="1" t="s">
        <v>6</v>
      </c>
      <c r="AF84" s="0" t="n">
        <v>1.958165</v>
      </c>
      <c r="AH84" s="1" t="s">
        <v>6</v>
      </c>
      <c r="AI84" s="0" t="n">
        <v>1.014693</v>
      </c>
      <c r="AK84" s="1" t="s">
        <v>6</v>
      </c>
      <c r="AL84" s="0" t="s">
        <v>468</v>
      </c>
      <c r="AM84" s="0" t="s">
        <v>474</v>
      </c>
      <c r="AN84" s="0" t="s">
        <v>469</v>
      </c>
      <c r="AO84" s="0" t="n">
        <v>2.570161</v>
      </c>
      <c r="AS84" s="2" t="str">
        <f aca="false">IF(AND(G84="true",J84="true",M84="true",P84="true",S84="true"),"true","false")</f>
        <v>false</v>
      </c>
      <c r="AT84" s="0" t="str">
        <f aca="false">IF(AND(Y84="true",AB84="true",AE84="true",AH84="true",AK84="true"),"true","false")</f>
        <v>false</v>
      </c>
    </row>
    <row r="85" customFormat="false" ht="12.8" hidden="false" customHeight="false" outlineLevel="0" collapsed="false">
      <c r="A85" s="0" t="s">
        <v>685</v>
      </c>
      <c r="B85" s="0" t="s">
        <v>1</v>
      </c>
      <c r="C85" s="0" t="s">
        <v>474</v>
      </c>
      <c r="D85" s="0" t="s">
        <v>469</v>
      </c>
      <c r="E85" s="0" t="n">
        <v>20.704861</v>
      </c>
      <c r="F85" s="0" t="s">
        <v>686</v>
      </c>
      <c r="G85" s="1" t="s">
        <v>6</v>
      </c>
      <c r="H85" s="0" t="n">
        <v>18.141381</v>
      </c>
      <c r="I85" s="0" t="s">
        <v>593</v>
      </c>
      <c r="J85" s="1" t="s">
        <v>6</v>
      </c>
      <c r="K85" s="0" t="n">
        <v>13.689932</v>
      </c>
      <c r="L85" s="0" t="s">
        <v>687</v>
      </c>
      <c r="M85" s="1" t="s">
        <v>6</v>
      </c>
      <c r="N85" s="0" t="n">
        <v>15.91303</v>
      </c>
      <c r="O85" s="0" t="s">
        <v>83</v>
      </c>
      <c r="P85" s="1" t="s">
        <v>6</v>
      </c>
      <c r="Q85" s="0" t="n">
        <v>6.294916</v>
      </c>
      <c r="R85" s="0" t="s">
        <v>9</v>
      </c>
      <c r="S85" s="1" t="s">
        <v>6</v>
      </c>
      <c r="T85" s="0" t="s">
        <v>10</v>
      </c>
      <c r="U85" s="0" t="s">
        <v>468</v>
      </c>
      <c r="V85" s="0" t="s">
        <v>469</v>
      </c>
      <c r="W85" s="0" t="n">
        <v>44.427804</v>
      </c>
      <c r="X85" s="0" t="s">
        <v>688</v>
      </c>
      <c r="Y85" s="1" t="s">
        <v>6</v>
      </c>
      <c r="Z85" s="0" t="n">
        <v>4.731991</v>
      </c>
      <c r="AA85" s="0" t="s">
        <v>689</v>
      </c>
      <c r="AB85" s="1" t="s">
        <v>6</v>
      </c>
      <c r="AC85" s="0" t="n">
        <v>21.844901</v>
      </c>
      <c r="AD85" s="0" t="s">
        <v>690</v>
      </c>
      <c r="AE85" s="1" t="s">
        <v>6</v>
      </c>
      <c r="AF85" s="0" t="n">
        <v>5.946321</v>
      </c>
      <c r="AG85" s="0" t="s">
        <v>691</v>
      </c>
      <c r="AH85" s="1" t="s">
        <v>6</v>
      </c>
      <c r="AI85" s="0" t="n">
        <v>5.586851</v>
      </c>
      <c r="AJ85" s="0" t="s">
        <v>15</v>
      </c>
      <c r="AK85" s="1" t="s">
        <v>6</v>
      </c>
      <c r="AL85" s="0" t="s">
        <v>474</v>
      </c>
      <c r="AM85" s="0" t="s">
        <v>468</v>
      </c>
      <c r="AN85" s="0" t="s">
        <v>469</v>
      </c>
      <c r="AO85" s="0" t="n">
        <v>5.740921</v>
      </c>
      <c r="AP85" s="0" t="n">
        <v>-1</v>
      </c>
      <c r="AQ85" s="0" t="n">
        <v>1</v>
      </c>
      <c r="AS85" s="2" t="str">
        <f aca="false">IF(AND(G85="true",J85="true",M85="true",P85="true",S85="true"),"true","false")</f>
        <v>false</v>
      </c>
      <c r="AT85" s="0" t="str">
        <f aca="false">IF(AND(Y85="true",AB85="true",AE85="true",AH85="true",AK85="true"),"true","false")</f>
        <v>false</v>
      </c>
    </row>
    <row r="86" customFormat="false" ht="12.8" hidden="false" customHeight="false" outlineLevel="0" collapsed="false">
      <c r="A86" s="0" t="s">
        <v>692</v>
      </c>
      <c r="B86" s="0" t="s">
        <v>1</v>
      </c>
      <c r="C86" s="0" t="s">
        <v>468</v>
      </c>
      <c r="D86" s="0" t="s">
        <v>469</v>
      </c>
      <c r="E86" s="0" t="n">
        <v>55.725669</v>
      </c>
      <c r="F86" s="0" t="s">
        <v>470</v>
      </c>
      <c r="G86" s="1" t="s">
        <v>5</v>
      </c>
      <c r="H86" s="0" t="n">
        <v>34.515099</v>
      </c>
      <c r="I86" s="0" t="s">
        <v>471</v>
      </c>
      <c r="J86" s="1" t="s">
        <v>5</v>
      </c>
      <c r="K86" s="0" t="n">
        <v>16.322592</v>
      </c>
      <c r="L86" s="0" t="s">
        <v>549</v>
      </c>
      <c r="M86" s="1" t="s">
        <v>6</v>
      </c>
      <c r="N86" s="0" t="n">
        <v>22.004959</v>
      </c>
      <c r="O86" s="0" t="s">
        <v>473</v>
      </c>
      <c r="P86" s="1" t="s">
        <v>5</v>
      </c>
      <c r="Q86" s="0" t="n">
        <v>22.65693</v>
      </c>
      <c r="R86" s="0" t="s">
        <v>9</v>
      </c>
      <c r="S86" s="1" t="s">
        <v>6</v>
      </c>
      <c r="T86" s="0" t="s">
        <v>10</v>
      </c>
      <c r="U86" s="0" t="s">
        <v>474</v>
      </c>
      <c r="V86" s="0" t="s">
        <v>469</v>
      </c>
      <c r="W86" s="0" t="n">
        <v>38.757474</v>
      </c>
      <c r="X86" s="0" t="s">
        <v>480</v>
      </c>
      <c r="Y86" s="1" t="s">
        <v>5</v>
      </c>
      <c r="Z86" s="0" t="n">
        <v>22.851899</v>
      </c>
      <c r="AA86" s="0" t="s">
        <v>476</v>
      </c>
      <c r="AB86" s="1" t="s">
        <v>5</v>
      </c>
      <c r="AC86" s="0" t="n">
        <v>16.588009</v>
      </c>
      <c r="AD86" s="0" t="s">
        <v>477</v>
      </c>
      <c r="AE86" s="1" t="s">
        <v>5</v>
      </c>
      <c r="AF86" s="0" t="n">
        <v>52.988153</v>
      </c>
      <c r="AG86" s="0" t="s">
        <v>478</v>
      </c>
      <c r="AH86" s="1" t="s">
        <v>5</v>
      </c>
      <c r="AI86" s="0" t="n">
        <v>25.197778</v>
      </c>
      <c r="AJ86" s="0" t="s">
        <v>9</v>
      </c>
      <c r="AK86" s="1" t="s">
        <v>5</v>
      </c>
      <c r="AL86" s="0" t="s">
        <v>468</v>
      </c>
      <c r="AM86" s="0" t="s">
        <v>474</v>
      </c>
      <c r="AN86" s="0" t="s">
        <v>469</v>
      </c>
      <c r="AO86" s="0" t="n">
        <v>7.210486</v>
      </c>
      <c r="AP86" s="0" t="n">
        <v>2</v>
      </c>
      <c r="AQ86" s="0" t="n">
        <v>1</v>
      </c>
      <c r="AS86" s="2" t="str">
        <f aca="false">IF(AND(G86="true",J86="true",M86="true",P86="true",S86="true"),"true","false")</f>
        <v>false</v>
      </c>
      <c r="AT86" s="0" t="str">
        <f aca="false">IF(AND(Y86="true",AB86="true",AE86="true",AH86="true",AK86="true"),"true","false")</f>
        <v>true</v>
      </c>
    </row>
    <row r="87" customFormat="false" ht="12.8" hidden="false" customHeight="false" outlineLevel="0" collapsed="false">
      <c r="A87" s="0" t="s">
        <v>693</v>
      </c>
      <c r="B87" s="0" t="s">
        <v>1</v>
      </c>
      <c r="C87" s="0" t="s">
        <v>468</v>
      </c>
      <c r="D87" s="0" t="s">
        <v>469</v>
      </c>
      <c r="E87" s="0" t="n">
        <v>100.89389</v>
      </c>
      <c r="F87" s="0" t="s">
        <v>470</v>
      </c>
      <c r="G87" s="1" t="s">
        <v>5</v>
      </c>
      <c r="H87" s="0" t="n">
        <v>53.063523</v>
      </c>
      <c r="I87" s="0" t="s">
        <v>471</v>
      </c>
      <c r="J87" s="1" t="s">
        <v>5</v>
      </c>
      <c r="K87" s="0" t="n">
        <v>24.55386</v>
      </c>
      <c r="L87" s="0" t="s">
        <v>486</v>
      </c>
      <c r="M87" s="1" t="s">
        <v>5</v>
      </c>
      <c r="N87" s="0" t="n">
        <v>15.813257</v>
      </c>
      <c r="O87" s="0" t="s">
        <v>473</v>
      </c>
      <c r="P87" s="1" t="s">
        <v>5</v>
      </c>
      <c r="Q87" s="0" t="n">
        <v>28.617869</v>
      </c>
      <c r="R87" s="0" t="s">
        <v>15</v>
      </c>
      <c r="S87" s="1" t="s">
        <v>6</v>
      </c>
      <c r="T87" s="0" t="s">
        <v>10</v>
      </c>
      <c r="U87" s="0" t="s">
        <v>474</v>
      </c>
      <c r="V87" s="0" t="s">
        <v>469</v>
      </c>
      <c r="W87" s="0" t="n">
        <v>46.894031</v>
      </c>
      <c r="X87" s="0" t="s">
        <v>480</v>
      </c>
      <c r="Y87" s="1" t="s">
        <v>5</v>
      </c>
      <c r="Z87" s="0" t="n">
        <v>10.194526</v>
      </c>
      <c r="AA87" s="0" t="s">
        <v>501</v>
      </c>
      <c r="AB87" s="1" t="s">
        <v>6</v>
      </c>
      <c r="AC87" s="0" t="n">
        <v>22.391674</v>
      </c>
      <c r="AD87" s="0" t="s">
        <v>477</v>
      </c>
      <c r="AE87" s="1" t="s">
        <v>5</v>
      </c>
      <c r="AF87" s="0" t="n">
        <v>79.936285</v>
      </c>
      <c r="AG87" s="0" t="s">
        <v>478</v>
      </c>
      <c r="AH87" s="1" t="s">
        <v>5</v>
      </c>
      <c r="AI87" s="0" t="n">
        <v>13.581334</v>
      </c>
      <c r="AJ87" s="0" t="s">
        <v>51</v>
      </c>
      <c r="AK87" s="1" t="s">
        <v>6</v>
      </c>
      <c r="AL87" s="0" t="s">
        <v>468</v>
      </c>
      <c r="AM87" s="0" t="s">
        <v>474</v>
      </c>
      <c r="AN87" s="0" t="s">
        <v>469</v>
      </c>
      <c r="AO87" s="0" t="n">
        <v>4.664069</v>
      </c>
      <c r="AP87" s="0" t="n">
        <v>1</v>
      </c>
      <c r="AQ87" s="0" t="n">
        <v>2</v>
      </c>
      <c r="AS87" s="2" t="str">
        <f aca="false">IF(AND(G87="true",J87="true",M87="true",P87="true",S87="true"),"true","false")</f>
        <v>false</v>
      </c>
      <c r="AT87" s="0" t="str">
        <f aca="false">IF(AND(Y87="true",AB87="true",AE87="true",AH87="true",AK87="true"),"true","false")</f>
        <v>false</v>
      </c>
    </row>
    <row r="88" customFormat="false" ht="12.8" hidden="false" customHeight="false" outlineLevel="0" collapsed="false">
      <c r="A88" s="0" t="s">
        <v>694</v>
      </c>
      <c r="B88" s="0" t="s">
        <v>1</v>
      </c>
      <c r="C88" s="0" t="s">
        <v>474</v>
      </c>
      <c r="D88" s="0" t="s">
        <v>469</v>
      </c>
      <c r="E88" s="0" t="n">
        <v>5.751236</v>
      </c>
      <c r="G88" s="1" t="s">
        <v>6</v>
      </c>
      <c r="H88" s="0" t="n">
        <v>1.220492</v>
      </c>
      <c r="J88" s="1" t="s">
        <v>6</v>
      </c>
      <c r="K88" s="0" t="n">
        <v>0.935648</v>
      </c>
      <c r="M88" s="1" t="s">
        <v>6</v>
      </c>
      <c r="N88" s="0" t="n">
        <v>1.025281</v>
      </c>
      <c r="P88" s="1" t="s">
        <v>6</v>
      </c>
      <c r="Q88" s="0" t="n">
        <v>1.363562</v>
      </c>
      <c r="S88" s="1" t="s">
        <v>6</v>
      </c>
      <c r="T88" s="0" t="s">
        <v>10</v>
      </c>
      <c r="U88" s="0" t="s">
        <v>468</v>
      </c>
      <c r="V88" s="0" t="s">
        <v>469</v>
      </c>
      <c r="W88" s="0" t="n">
        <v>58.458948</v>
      </c>
      <c r="Y88" s="1" t="s">
        <v>6</v>
      </c>
      <c r="Z88" s="0" t="n">
        <v>1.081054</v>
      </c>
      <c r="AB88" s="1" t="s">
        <v>6</v>
      </c>
      <c r="AC88" s="0" t="n">
        <v>0.562831</v>
      </c>
      <c r="AE88" s="1" t="s">
        <v>6</v>
      </c>
      <c r="AF88" s="0" t="n">
        <v>1.001458</v>
      </c>
      <c r="AH88" s="1" t="s">
        <v>6</v>
      </c>
      <c r="AI88" s="0" t="n">
        <v>0.75201</v>
      </c>
      <c r="AK88" s="1" t="s">
        <v>6</v>
      </c>
      <c r="AL88" s="0" t="s">
        <v>474</v>
      </c>
      <c r="AM88" s="0" t="s">
        <v>468</v>
      </c>
      <c r="AN88" s="0" t="s">
        <v>469</v>
      </c>
      <c r="AO88" s="0" t="n">
        <v>3.903468</v>
      </c>
      <c r="AP88" s="0" t="n">
        <v>-1</v>
      </c>
      <c r="AQ88" s="0" t="n">
        <v>2</v>
      </c>
      <c r="AS88" s="2" t="str">
        <f aca="false">IF(AND(G88="true",J88="true",M88="true",P88="true",S88="true"),"true","false")</f>
        <v>false</v>
      </c>
      <c r="AT88" s="0" t="str">
        <f aca="false">IF(AND(Y88="true",AB88="true",AE88="true",AH88="true",AK88="true"),"true","false")</f>
        <v>false</v>
      </c>
    </row>
    <row r="89" customFormat="false" ht="12.8" hidden="false" customHeight="false" outlineLevel="0" collapsed="false">
      <c r="A89" s="0" t="s">
        <v>695</v>
      </c>
      <c r="B89" s="0" t="s">
        <v>1</v>
      </c>
      <c r="C89" s="0" t="s">
        <v>474</v>
      </c>
      <c r="D89" s="0" t="s">
        <v>469</v>
      </c>
      <c r="E89" s="0" t="n">
        <v>57.857703</v>
      </c>
      <c r="F89" s="0" t="s">
        <v>480</v>
      </c>
      <c r="G89" s="1" t="s">
        <v>5</v>
      </c>
      <c r="H89" s="0" t="n">
        <v>30.749161</v>
      </c>
      <c r="I89" s="0" t="s">
        <v>476</v>
      </c>
      <c r="J89" s="1" t="s">
        <v>5</v>
      </c>
      <c r="K89" s="0" t="n">
        <v>12.457855</v>
      </c>
      <c r="L89" s="0" t="s">
        <v>484</v>
      </c>
      <c r="M89" s="1" t="s">
        <v>6</v>
      </c>
      <c r="N89" s="0" t="n">
        <v>74.809848</v>
      </c>
      <c r="O89" s="0" t="s">
        <v>478</v>
      </c>
      <c r="P89" s="1" t="s">
        <v>5</v>
      </c>
      <c r="Q89" s="0" t="n">
        <v>11.854488</v>
      </c>
      <c r="R89" s="0" t="s">
        <v>15</v>
      </c>
      <c r="S89" s="1" t="s">
        <v>6</v>
      </c>
      <c r="T89" s="0" t="s">
        <v>10</v>
      </c>
      <c r="U89" s="0" t="s">
        <v>468</v>
      </c>
      <c r="V89" s="0" t="s">
        <v>469</v>
      </c>
      <c r="W89" s="0" t="n">
        <v>49.208008</v>
      </c>
      <c r="X89" s="0" t="s">
        <v>696</v>
      </c>
      <c r="Y89" s="1" t="s">
        <v>6</v>
      </c>
      <c r="Z89" s="0" t="n">
        <v>79.842027</v>
      </c>
      <c r="AA89" s="0" t="s">
        <v>697</v>
      </c>
      <c r="AB89" s="1" t="s">
        <v>6</v>
      </c>
      <c r="AC89" s="0" t="n">
        <v>31.248965</v>
      </c>
      <c r="AD89" s="0" t="s">
        <v>486</v>
      </c>
      <c r="AE89" s="1" t="s">
        <v>5</v>
      </c>
      <c r="AF89" s="0" t="n">
        <v>19.49587</v>
      </c>
      <c r="AG89" s="0" t="s">
        <v>473</v>
      </c>
      <c r="AH89" s="1" t="s">
        <v>5</v>
      </c>
      <c r="AI89" s="0" t="n">
        <v>13.858454</v>
      </c>
      <c r="AJ89" s="0" t="s">
        <v>9</v>
      </c>
      <c r="AK89" s="1" t="s">
        <v>5</v>
      </c>
      <c r="AL89" s="0" t="s">
        <v>474</v>
      </c>
      <c r="AM89" s="0" t="s">
        <v>468</v>
      </c>
      <c r="AN89" s="0" t="s">
        <v>469</v>
      </c>
      <c r="AO89" s="0" t="n">
        <v>8.361977</v>
      </c>
      <c r="AP89" s="0" t="n">
        <v>0</v>
      </c>
      <c r="AQ89" s="0" t="n">
        <v>0</v>
      </c>
      <c r="AS89" s="2" t="str">
        <f aca="false">IF(AND(G89="true",J89="true",M89="true",P89="true",S89="true"),"true","false")</f>
        <v>false</v>
      </c>
      <c r="AT89" s="0" t="str">
        <f aca="false">IF(AND(Y89="true",AB89="true",AE89="true",AH89="true",AK89="true"),"true","false")</f>
        <v>false</v>
      </c>
    </row>
    <row r="90" customFormat="false" ht="12.8" hidden="false" customHeight="false" outlineLevel="0" collapsed="false">
      <c r="A90" s="0" t="s">
        <v>698</v>
      </c>
      <c r="B90" s="0" t="s">
        <v>1</v>
      </c>
      <c r="C90" s="0" t="s">
        <v>474</v>
      </c>
      <c r="D90" s="0" t="s">
        <v>469</v>
      </c>
      <c r="E90" s="0" t="n">
        <v>42.573614</v>
      </c>
      <c r="F90" s="0" t="s">
        <v>480</v>
      </c>
      <c r="G90" s="1" t="s">
        <v>5</v>
      </c>
      <c r="H90" s="0" t="n">
        <v>24.420902</v>
      </c>
      <c r="I90" s="0" t="s">
        <v>476</v>
      </c>
      <c r="J90" s="1" t="s">
        <v>5</v>
      </c>
      <c r="K90" s="0" t="n">
        <v>15.290079</v>
      </c>
      <c r="L90" s="0" t="s">
        <v>484</v>
      </c>
      <c r="M90" s="1" t="s">
        <v>6</v>
      </c>
      <c r="N90" s="0" t="n">
        <v>62.747244</v>
      </c>
      <c r="O90" s="0" t="s">
        <v>699</v>
      </c>
      <c r="P90" s="1" t="s">
        <v>6</v>
      </c>
      <c r="Q90" s="0" t="n">
        <v>5.943744</v>
      </c>
      <c r="R90" s="0" t="s">
        <v>15</v>
      </c>
      <c r="S90" s="1" t="s">
        <v>6</v>
      </c>
      <c r="T90" s="0" t="s">
        <v>10</v>
      </c>
      <c r="U90" s="0" t="s">
        <v>468</v>
      </c>
      <c r="V90" s="0" t="s">
        <v>469</v>
      </c>
      <c r="W90" s="0" t="n">
        <v>62.611736</v>
      </c>
      <c r="X90" s="0" t="s">
        <v>556</v>
      </c>
      <c r="Y90" s="1" t="s">
        <v>6</v>
      </c>
      <c r="Z90" s="0" t="n">
        <v>32.950355</v>
      </c>
      <c r="AA90" s="0" t="s">
        <v>485</v>
      </c>
      <c r="AB90" s="1" t="s">
        <v>6</v>
      </c>
      <c r="AC90" s="0" t="n">
        <v>12.675707</v>
      </c>
      <c r="AD90" s="0" t="s">
        <v>537</v>
      </c>
      <c r="AE90" s="1" t="s">
        <v>6</v>
      </c>
      <c r="AF90" s="0" t="n">
        <v>31.681419</v>
      </c>
      <c r="AG90" s="0" t="s">
        <v>656</v>
      </c>
      <c r="AH90" s="1" t="s">
        <v>6</v>
      </c>
      <c r="AI90" s="0" t="n">
        <v>6.115605</v>
      </c>
      <c r="AJ90" s="0" t="s">
        <v>15</v>
      </c>
      <c r="AK90" s="1" t="s">
        <v>6</v>
      </c>
      <c r="AL90" s="0" t="s">
        <v>474</v>
      </c>
      <c r="AM90" s="0" t="s">
        <v>468</v>
      </c>
      <c r="AN90" s="0" t="s">
        <v>469</v>
      </c>
      <c r="AO90" s="0" t="n">
        <v>8.881595</v>
      </c>
      <c r="AP90" s="0" t="n">
        <v>-2</v>
      </c>
      <c r="AQ90" s="0" t="n">
        <v>1</v>
      </c>
      <c r="AS90" s="2" t="str">
        <f aca="false">IF(AND(G90="true",J90="true",M90="true",P90="true",S90="true"),"true","false")</f>
        <v>false</v>
      </c>
      <c r="AT90" s="0" t="str">
        <f aca="false">IF(AND(Y90="true",AB90="true",AE90="true",AH90="true",AK90="true"),"true","false")</f>
        <v>false</v>
      </c>
    </row>
    <row r="91" customFormat="false" ht="12.8" hidden="false" customHeight="false" outlineLevel="0" collapsed="false">
      <c r="A91" s="0" t="s">
        <v>700</v>
      </c>
      <c r="B91" s="0" t="s">
        <v>1</v>
      </c>
      <c r="C91" s="0" t="s">
        <v>468</v>
      </c>
      <c r="D91" s="0" t="s">
        <v>469</v>
      </c>
      <c r="E91" s="0" t="n">
        <v>29.909179</v>
      </c>
      <c r="F91" s="0" t="s">
        <v>701</v>
      </c>
      <c r="G91" s="1" t="s">
        <v>6</v>
      </c>
      <c r="H91" s="0" t="n">
        <v>19.629028</v>
      </c>
      <c r="I91" s="0" t="s">
        <v>494</v>
      </c>
      <c r="J91" s="1" t="s">
        <v>6</v>
      </c>
      <c r="K91" s="0" t="n">
        <v>14.169639</v>
      </c>
      <c r="L91" s="0" t="s">
        <v>549</v>
      </c>
      <c r="M91" s="1" t="s">
        <v>6</v>
      </c>
      <c r="N91" s="0" t="n">
        <v>8.669416</v>
      </c>
      <c r="O91" s="0" t="s">
        <v>691</v>
      </c>
      <c r="P91" s="1" t="s">
        <v>6</v>
      </c>
      <c r="Q91" s="0" t="n">
        <v>7.132396</v>
      </c>
      <c r="R91" s="0" t="s">
        <v>15</v>
      </c>
      <c r="S91" s="1" t="s">
        <v>6</v>
      </c>
      <c r="T91" s="0" t="s">
        <v>10</v>
      </c>
      <c r="U91" s="0" t="s">
        <v>474</v>
      </c>
      <c r="V91" s="0" t="s">
        <v>469</v>
      </c>
      <c r="W91" s="0" t="n">
        <v>25.731622</v>
      </c>
      <c r="X91" s="0" t="s">
        <v>480</v>
      </c>
      <c r="Y91" s="1" t="s">
        <v>5</v>
      </c>
      <c r="Z91" s="0" t="n">
        <v>15.211698</v>
      </c>
      <c r="AA91" s="0" t="s">
        <v>502</v>
      </c>
      <c r="AB91" s="1" t="s">
        <v>6</v>
      </c>
      <c r="AC91" s="0" t="n">
        <v>19.468954</v>
      </c>
      <c r="AD91" s="0" t="s">
        <v>476</v>
      </c>
      <c r="AE91" s="1" t="s">
        <v>6</v>
      </c>
      <c r="AF91" s="0" t="n">
        <v>32.683805</v>
      </c>
      <c r="AG91" s="0" t="s">
        <v>702</v>
      </c>
      <c r="AH91" s="1" t="s">
        <v>6</v>
      </c>
      <c r="AI91" s="0" t="n">
        <v>9.022767</v>
      </c>
      <c r="AJ91" s="0" t="s">
        <v>51</v>
      </c>
      <c r="AK91" s="1" t="s">
        <v>6</v>
      </c>
      <c r="AL91" s="0" t="s">
        <v>468</v>
      </c>
      <c r="AM91" s="0" t="s">
        <v>474</v>
      </c>
      <c r="AN91" s="0" t="s">
        <v>469</v>
      </c>
      <c r="AO91" s="0" t="n">
        <v>21.730561</v>
      </c>
      <c r="AP91" s="0" t="n">
        <v>-1</v>
      </c>
      <c r="AQ91" s="0" t="n">
        <v>-1</v>
      </c>
      <c r="AR91" s="0" t="s">
        <v>703</v>
      </c>
      <c r="AS91" s="2" t="str">
        <f aca="false">IF(AND(G91="true",J91="true",M91="true",P91="true",S91="true"),"true","false")</f>
        <v>false</v>
      </c>
      <c r="AT91" s="0" t="str">
        <f aca="false">IF(AND(Y91="true",AB91="true",AE91="true",AH91="true",AK91="true"),"true","false")</f>
        <v>false</v>
      </c>
    </row>
    <row r="92" customFormat="false" ht="12.8" hidden="false" customHeight="false" outlineLevel="0" collapsed="false">
      <c r="A92" s="0" t="s">
        <v>704</v>
      </c>
      <c r="B92" s="0" t="s">
        <v>1</v>
      </c>
      <c r="C92" s="0" t="s">
        <v>474</v>
      </c>
      <c r="D92" s="0" t="s">
        <v>469</v>
      </c>
      <c r="E92" s="0" t="n">
        <v>39.994027</v>
      </c>
      <c r="F92" s="0" t="s">
        <v>488</v>
      </c>
      <c r="G92" s="1" t="s">
        <v>6</v>
      </c>
      <c r="H92" s="0" t="n">
        <v>36.956271</v>
      </c>
      <c r="I92" s="0" t="s">
        <v>476</v>
      </c>
      <c r="J92" s="1" t="s">
        <v>5</v>
      </c>
      <c r="K92" s="0" t="n">
        <v>14.527049</v>
      </c>
      <c r="L92" s="0" t="s">
        <v>484</v>
      </c>
      <c r="M92" s="1" t="s">
        <v>6</v>
      </c>
      <c r="N92" s="0" t="n">
        <v>90.517957</v>
      </c>
      <c r="O92" s="0" t="s">
        <v>705</v>
      </c>
      <c r="P92" s="1" t="s">
        <v>6</v>
      </c>
      <c r="Q92" s="0" t="n">
        <v>33.71396</v>
      </c>
      <c r="R92" s="0" t="s">
        <v>9</v>
      </c>
      <c r="S92" s="1" t="s">
        <v>6</v>
      </c>
      <c r="T92" s="0" t="s">
        <v>10</v>
      </c>
      <c r="U92" s="0" t="s">
        <v>468</v>
      </c>
      <c r="V92" s="0" t="s">
        <v>469</v>
      </c>
      <c r="W92" s="0" t="n">
        <v>45.016745</v>
      </c>
      <c r="X92" s="0" t="s">
        <v>470</v>
      </c>
      <c r="Y92" s="1" t="s">
        <v>5</v>
      </c>
      <c r="Z92" s="0" t="n">
        <v>46.711829</v>
      </c>
      <c r="AA92" s="0" t="s">
        <v>494</v>
      </c>
      <c r="AB92" s="1" t="s">
        <v>6</v>
      </c>
      <c r="AC92" s="0" t="n">
        <v>19.946401</v>
      </c>
      <c r="AD92" s="0" t="s">
        <v>486</v>
      </c>
      <c r="AE92" s="1" t="s">
        <v>5</v>
      </c>
      <c r="AF92" s="0" t="n">
        <v>33.738903</v>
      </c>
      <c r="AG92" s="0" t="s">
        <v>473</v>
      </c>
      <c r="AH92" s="1" t="s">
        <v>5</v>
      </c>
      <c r="AI92" s="0" t="n">
        <v>29.275086</v>
      </c>
      <c r="AJ92" s="0" t="s">
        <v>9</v>
      </c>
      <c r="AK92" s="1" t="s">
        <v>5</v>
      </c>
      <c r="AL92" s="0" t="s">
        <v>474</v>
      </c>
      <c r="AM92" s="0" t="s">
        <v>468</v>
      </c>
      <c r="AN92" s="0" t="s">
        <v>469</v>
      </c>
      <c r="AO92" s="0" t="n">
        <v>5.537618</v>
      </c>
      <c r="AP92" s="0" t="n">
        <v>-1</v>
      </c>
      <c r="AQ92" s="0" t="n">
        <v>1</v>
      </c>
      <c r="AS92" s="2" t="str">
        <f aca="false">IF(AND(G92="true",J92="true",M92="true",P92="true",S92="true"),"true","false")</f>
        <v>false</v>
      </c>
      <c r="AT92" s="0" t="str">
        <f aca="false">IF(AND(Y92="true",AB92="true",AE92="true",AH92="true",AK92="true"),"true","false")</f>
        <v>false</v>
      </c>
    </row>
    <row r="93" customFormat="false" ht="12.8" hidden="false" customHeight="false" outlineLevel="0" collapsed="false">
      <c r="A93" s="0" t="s">
        <v>706</v>
      </c>
      <c r="B93" s="0" t="s">
        <v>1</v>
      </c>
      <c r="C93" s="0" t="s">
        <v>474</v>
      </c>
      <c r="D93" s="0" t="s">
        <v>469</v>
      </c>
      <c r="E93" s="0" t="n">
        <v>32.992648</v>
      </c>
      <c r="F93" s="0" t="s">
        <v>707</v>
      </c>
      <c r="G93" s="1" t="s">
        <v>6</v>
      </c>
      <c r="H93" s="0" t="n">
        <v>19.409411</v>
      </c>
      <c r="I93" s="0" t="s">
        <v>708</v>
      </c>
      <c r="J93" s="1" t="s">
        <v>6</v>
      </c>
      <c r="K93" s="0" t="n">
        <v>9.228176</v>
      </c>
      <c r="L93" s="0" t="s">
        <v>502</v>
      </c>
      <c r="M93" s="1" t="s">
        <v>6</v>
      </c>
      <c r="N93" s="0" t="n">
        <v>30.591483</v>
      </c>
      <c r="O93" s="0" t="s">
        <v>709</v>
      </c>
      <c r="P93" s="1" t="s">
        <v>6</v>
      </c>
      <c r="Q93" s="0" t="n">
        <v>10.652408</v>
      </c>
      <c r="S93" s="1" t="s">
        <v>6</v>
      </c>
      <c r="T93" s="0" t="s">
        <v>10</v>
      </c>
      <c r="U93" s="0" t="s">
        <v>468</v>
      </c>
      <c r="V93" s="0" t="s">
        <v>469</v>
      </c>
      <c r="W93" s="0" t="n">
        <v>52.454382</v>
      </c>
      <c r="X93" s="0" t="s">
        <v>470</v>
      </c>
      <c r="Y93" s="1" t="s">
        <v>5</v>
      </c>
      <c r="Z93" s="0" t="n">
        <v>26.67274</v>
      </c>
      <c r="AA93" s="0" t="s">
        <v>486</v>
      </c>
      <c r="AB93" s="1" t="s">
        <v>6</v>
      </c>
      <c r="AC93" s="0" t="n">
        <v>37.212486</v>
      </c>
      <c r="AD93" s="0" t="s">
        <v>494</v>
      </c>
      <c r="AE93" s="1" t="s">
        <v>6</v>
      </c>
      <c r="AF93" s="0" t="n">
        <v>16.321802</v>
      </c>
      <c r="AG93" s="0" t="s">
        <v>473</v>
      </c>
      <c r="AH93" s="1" t="s">
        <v>5</v>
      </c>
      <c r="AI93" s="0" t="n">
        <v>10.060149</v>
      </c>
      <c r="AJ93" s="0" t="s">
        <v>15</v>
      </c>
      <c r="AK93" s="1" t="s">
        <v>6</v>
      </c>
      <c r="AL93" s="0" t="s">
        <v>474</v>
      </c>
      <c r="AM93" s="0" t="s">
        <v>468</v>
      </c>
      <c r="AN93" s="0" t="s">
        <v>469</v>
      </c>
      <c r="AO93" s="0" t="n">
        <v>2.677623</v>
      </c>
      <c r="AP93" s="0" t="n">
        <v>2</v>
      </c>
      <c r="AQ93" s="0" t="n">
        <v>2</v>
      </c>
      <c r="AS93" s="2" t="str">
        <f aca="false">IF(AND(G93="true",J93="true",M93="true",P93="true",S93="true"),"true","false")</f>
        <v>false</v>
      </c>
      <c r="AT93" s="0" t="str">
        <f aca="false">IF(AND(Y93="true",AB93="true",AE93="true",AH93="true",AK93="true"),"true","false")</f>
        <v>false</v>
      </c>
    </row>
    <row r="94" customFormat="false" ht="12.8" hidden="false" customHeight="false" outlineLevel="0" collapsed="false">
      <c r="A94" s="0" t="s">
        <v>710</v>
      </c>
      <c r="B94" s="0" t="s">
        <v>1</v>
      </c>
      <c r="C94" s="0" t="s">
        <v>468</v>
      </c>
      <c r="D94" s="0" t="s">
        <v>469</v>
      </c>
      <c r="E94" s="0" t="n">
        <v>63.412316</v>
      </c>
      <c r="F94" s="0" t="s">
        <v>470</v>
      </c>
      <c r="G94" s="1" t="s">
        <v>5</v>
      </c>
      <c r="H94" s="0" t="n">
        <v>47.808164</v>
      </c>
      <c r="I94" s="0" t="s">
        <v>471</v>
      </c>
      <c r="J94" s="1" t="s">
        <v>5</v>
      </c>
      <c r="K94" s="0" t="n">
        <v>17.68686</v>
      </c>
      <c r="L94" s="0" t="s">
        <v>486</v>
      </c>
      <c r="M94" s="1" t="s">
        <v>5</v>
      </c>
      <c r="N94" s="0" t="n">
        <v>18.704301</v>
      </c>
      <c r="O94" s="0" t="s">
        <v>473</v>
      </c>
      <c r="P94" s="1" t="s">
        <v>5</v>
      </c>
      <c r="Q94" s="0" t="n">
        <v>10.030458</v>
      </c>
      <c r="R94" s="0" t="s">
        <v>15</v>
      </c>
      <c r="S94" s="1" t="s">
        <v>6</v>
      </c>
      <c r="T94" s="0" t="s">
        <v>10</v>
      </c>
      <c r="U94" s="0" t="s">
        <v>474</v>
      </c>
      <c r="V94" s="0" t="s">
        <v>469</v>
      </c>
      <c r="W94" s="0" t="n">
        <v>38.642156</v>
      </c>
      <c r="X94" s="0" t="s">
        <v>480</v>
      </c>
      <c r="Y94" s="1" t="s">
        <v>5</v>
      </c>
      <c r="Z94" s="0" t="n">
        <v>25.649046</v>
      </c>
      <c r="AA94" s="0" t="s">
        <v>476</v>
      </c>
      <c r="AB94" s="1" t="s">
        <v>5</v>
      </c>
      <c r="AC94" s="0" t="n">
        <v>15.052661</v>
      </c>
      <c r="AD94" s="0" t="s">
        <v>477</v>
      </c>
      <c r="AE94" s="1" t="s">
        <v>5</v>
      </c>
      <c r="AF94" s="0" t="n">
        <v>39.092603</v>
      </c>
      <c r="AG94" s="0" t="s">
        <v>478</v>
      </c>
      <c r="AH94" s="1" t="s">
        <v>5</v>
      </c>
      <c r="AI94" s="0" t="n">
        <v>17.16856</v>
      </c>
      <c r="AJ94" s="0" t="s">
        <v>15</v>
      </c>
      <c r="AK94" s="1" t="s">
        <v>6</v>
      </c>
      <c r="AL94" s="0" t="s">
        <v>468</v>
      </c>
      <c r="AM94" s="0" t="s">
        <v>474</v>
      </c>
      <c r="AN94" s="0" t="s">
        <v>469</v>
      </c>
      <c r="AO94" s="0" t="n">
        <v>6.894428</v>
      </c>
      <c r="AP94" s="0" t="n">
        <v>0</v>
      </c>
      <c r="AQ94" s="0" t="n">
        <v>1</v>
      </c>
      <c r="AS94" s="2" t="str">
        <f aca="false">IF(AND(G94="true",J94="true",M94="true",P94="true",S94="true"),"true","false")</f>
        <v>false</v>
      </c>
      <c r="AT94" s="0" t="str">
        <f aca="false">IF(AND(Y94="true",AB94="true",AE94="true",AH94="true",AK94="true"),"true","false")</f>
        <v>false</v>
      </c>
    </row>
    <row r="95" customFormat="false" ht="12.8" hidden="false" customHeight="false" outlineLevel="0" collapsed="false">
      <c r="A95" s="0" t="s">
        <v>711</v>
      </c>
      <c r="B95" s="0" t="s">
        <v>1</v>
      </c>
      <c r="C95" s="0" t="s">
        <v>468</v>
      </c>
      <c r="D95" s="0" t="s">
        <v>469</v>
      </c>
      <c r="E95" s="0" t="n">
        <v>44.076438</v>
      </c>
      <c r="F95" s="0" t="s">
        <v>712</v>
      </c>
      <c r="G95" s="1" t="s">
        <v>6</v>
      </c>
      <c r="H95" s="0" t="n">
        <v>29.225823</v>
      </c>
      <c r="I95" s="0" t="s">
        <v>485</v>
      </c>
      <c r="J95" s="1" t="s">
        <v>6</v>
      </c>
      <c r="K95" s="0" t="n">
        <v>24.50156</v>
      </c>
      <c r="L95" s="0" t="s">
        <v>486</v>
      </c>
      <c r="M95" s="1" t="s">
        <v>5</v>
      </c>
      <c r="N95" s="0" t="n">
        <v>12.385906</v>
      </c>
      <c r="O95" s="0" t="s">
        <v>266</v>
      </c>
      <c r="P95" s="1" t="s">
        <v>6</v>
      </c>
      <c r="Q95" s="0" t="n">
        <v>26.037455</v>
      </c>
      <c r="R95" s="0" t="s">
        <v>9</v>
      </c>
      <c r="S95" s="1" t="s">
        <v>6</v>
      </c>
      <c r="T95" s="0" t="s">
        <v>10</v>
      </c>
      <c r="U95" s="0" t="s">
        <v>474</v>
      </c>
      <c r="V95" s="0" t="s">
        <v>469</v>
      </c>
      <c r="W95" s="0" t="n">
        <v>54.242268</v>
      </c>
      <c r="X95" s="0" t="s">
        <v>475</v>
      </c>
      <c r="Y95" s="1" t="s">
        <v>6</v>
      </c>
      <c r="Z95" s="0" t="n">
        <v>32.024971</v>
      </c>
      <c r="AA95" s="0" t="s">
        <v>476</v>
      </c>
      <c r="AB95" s="1" t="s">
        <v>5</v>
      </c>
      <c r="AC95" s="0" t="n">
        <v>20.314676</v>
      </c>
      <c r="AD95" s="0" t="s">
        <v>502</v>
      </c>
      <c r="AE95" s="1" t="s">
        <v>6</v>
      </c>
      <c r="AF95" s="0" t="n">
        <v>37.192686</v>
      </c>
      <c r="AG95" s="0" t="s">
        <v>478</v>
      </c>
      <c r="AH95" s="1" t="s">
        <v>5</v>
      </c>
      <c r="AI95" s="0" t="n">
        <v>6.011585</v>
      </c>
      <c r="AJ95" s="0" t="s">
        <v>15</v>
      </c>
      <c r="AK95" s="1" t="s">
        <v>6</v>
      </c>
      <c r="AL95" s="0" t="s">
        <v>468</v>
      </c>
      <c r="AM95" s="0" t="s">
        <v>474</v>
      </c>
      <c r="AN95" s="0" t="s">
        <v>469</v>
      </c>
      <c r="AO95" s="0" t="n">
        <v>6.517558</v>
      </c>
      <c r="AP95" s="0" t="n">
        <v>0</v>
      </c>
      <c r="AQ95" s="0" t="n">
        <v>0</v>
      </c>
      <c r="AS95" s="2" t="str">
        <f aca="false">IF(AND(G95="true",J95="true",M95="true",P95="true",S95="true"),"true","false")</f>
        <v>false</v>
      </c>
      <c r="AT95" s="0" t="str">
        <f aca="false">IF(AND(Y95="true",AB95="true",AE95="true",AH95="true",AK95="true"),"true","false")</f>
        <v>false</v>
      </c>
    </row>
    <row r="96" customFormat="false" ht="12.8" hidden="false" customHeight="false" outlineLevel="0" collapsed="false">
      <c r="A96" s="0" t="s">
        <v>713</v>
      </c>
      <c r="B96" s="0" t="s">
        <v>1</v>
      </c>
      <c r="C96" s="0" t="s">
        <v>468</v>
      </c>
      <c r="D96" s="0" t="s">
        <v>469</v>
      </c>
      <c r="E96" s="0" t="n">
        <v>74.219273</v>
      </c>
      <c r="F96" s="0" t="s">
        <v>619</v>
      </c>
      <c r="G96" s="1" t="s">
        <v>6</v>
      </c>
      <c r="H96" s="0" t="n">
        <v>32.975049</v>
      </c>
      <c r="I96" s="0" t="s">
        <v>643</v>
      </c>
      <c r="J96" s="1" t="s">
        <v>6</v>
      </c>
      <c r="K96" s="0" t="n">
        <v>29.5346</v>
      </c>
      <c r="L96" s="0" t="s">
        <v>549</v>
      </c>
      <c r="M96" s="1" t="s">
        <v>6</v>
      </c>
      <c r="N96" s="0" t="n">
        <v>54.605278</v>
      </c>
      <c r="O96" s="0" t="s">
        <v>473</v>
      </c>
      <c r="P96" s="1" t="s">
        <v>5</v>
      </c>
      <c r="Q96" s="0" t="n">
        <v>15.560135</v>
      </c>
      <c r="R96" s="0" t="s">
        <v>15</v>
      </c>
      <c r="S96" s="1" t="s">
        <v>6</v>
      </c>
      <c r="T96" s="0" t="s">
        <v>10</v>
      </c>
      <c r="U96" s="0" t="s">
        <v>474</v>
      </c>
      <c r="V96" s="0" t="s">
        <v>469</v>
      </c>
      <c r="W96" s="0" t="n">
        <v>3.4928</v>
      </c>
      <c r="Y96" s="1" t="s">
        <v>6</v>
      </c>
      <c r="Z96" s="0" t="n">
        <v>0.714871</v>
      </c>
      <c r="AB96" s="1" t="s">
        <v>6</v>
      </c>
      <c r="AC96" s="0" t="n">
        <v>0.641645</v>
      </c>
      <c r="AE96" s="1" t="s">
        <v>6</v>
      </c>
      <c r="AF96" s="0" t="n">
        <v>1.502759</v>
      </c>
      <c r="AH96" s="1" t="s">
        <v>6</v>
      </c>
      <c r="AI96" s="0" t="n">
        <v>1.503568</v>
      </c>
      <c r="AK96" s="1" t="s">
        <v>6</v>
      </c>
      <c r="AL96" s="0" t="s">
        <v>468</v>
      </c>
      <c r="AM96" s="0" t="s">
        <v>474</v>
      </c>
      <c r="AN96" s="0" t="s">
        <v>469</v>
      </c>
      <c r="AO96" s="0" t="n">
        <v>28.588253</v>
      </c>
      <c r="AS96" s="2" t="str">
        <f aca="false">IF(AND(G96="true",J96="true",M96="true",P96="true",S96="true"),"true","false")</f>
        <v>false</v>
      </c>
      <c r="AT96" s="0" t="str">
        <f aca="false">IF(AND(Y96="true",AB96="true",AE96="true",AH96="true",AK96="true"),"true","false")</f>
        <v>false</v>
      </c>
    </row>
    <row r="97" customFormat="false" ht="12.8" hidden="false" customHeight="false" outlineLevel="0" collapsed="false">
      <c r="A97" s="0" t="s">
        <v>714</v>
      </c>
      <c r="B97" s="0" t="s">
        <v>1</v>
      </c>
      <c r="C97" s="0" t="s">
        <v>474</v>
      </c>
      <c r="D97" s="0" t="s">
        <v>469</v>
      </c>
      <c r="E97" s="0" t="n">
        <v>45.342251</v>
      </c>
      <c r="F97" s="0" t="s">
        <v>480</v>
      </c>
      <c r="G97" s="1" t="s">
        <v>5</v>
      </c>
      <c r="H97" s="0" t="n">
        <v>20.835355</v>
      </c>
      <c r="I97" s="0" t="s">
        <v>476</v>
      </c>
      <c r="J97" s="1" t="s">
        <v>5</v>
      </c>
      <c r="K97" s="0" t="n">
        <v>15.054799</v>
      </c>
      <c r="L97" s="0" t="s">
        <v>477</v>
      </c>
      <c r="M97" s="1" t="s">
        <v>5</v>
      </c>
      <c r="N97" s="0" t="n">
        <v>26.726634</v>
      </c>
      <c r="O97" s="0" t="s">
        <v>715</v>
      </c>
      <c r="P97" s="1" t="s">
        <v>6</v>
      </c>
      <c r="Q97" s="0" t="n">
        <v>7.657625</v>
      </c>
      <c r="R97" s="0" t="s">
        <v>15</v>
      </c>
      <c r="S97" s="1" t="s">
        <v>6</v>
      </c>
      <c r="T97" s="0" t="s">
        <v>10</v>
      </c>
      <c r="U97" s="0" t="s">
        <v>468</v>
      </c>
      <c r="V97" s="0" t="s">
        <v>469</v>
      </c>
      <c r="W97" s="0" t="n">
        <v>37.539242</v>
      </c>
      <c r="X97" s="0" t="s">
        <v>716</v>
      </c>
      <c r="Y97" s="1" t="s">
        <v>6</v>
      </c>
      <c r="Z97" s="0" t="n">
        <v>19.760355</v>
      </c>
      <c r="AA97" s="0" t="s">
        <v>717</v>
      </c>
      <c r="AB97" s="1" t="s">
        <v>6</v>
      </c>
      <c r="AC97" s="0" t="n">
        <v>16.701576</v>
      </c>
      <c r="AD97" s="0" t="s">
        <v>718</v>
      </c>
      <c r="AE97" s="1" t="s">
        <v>6</v>
      </c>
      <c r="AF97" s="0" t="n">
        <v>11.756692</v>
      </c>
      <c r="AG97" s="0" t="s">
        <v>719</v>
      </c>
      <c r="AH97" s="1" t="s">
        <v>6</v>
      </c>
      <c r="AI97" s="0" t="n">
        <v>3.245799</v>
      </c>
      <c r="AJ97" s="0" t="s">
        <v>9</v>
      </c>
      <c r="AK97" s="1" t="s">
        <v>5</v>
      </c>
      <c r="AL97" s="0" t="s">
        <v>474</v>
      </c>
      <c r="AM97" s="0" t="s">
        <v>468</v>
      </c>
      <c r="AN97" s="0" t="s">
        <v>469</v>
      </c>
      <c r="AO97" s="0" t="n">
        <v>10.820115</v>
      </c>
      <c r="AP97" s="0" t="n">
        <v>1</v>
      </c>
      <c r="AQ97" s="0" t="n">
        <v>-2</v>
      </c>
      <c r="AR97" s="0" t="s">
        <v>720</v>
      </c>
      <c r="AS97" s="2" t="str">
        <f aca="false">IF(AND(G97="true",J97="true",M97="true",P97="true",S97="true"),"true","false")</f>
        <v>false</v>
      </c>
      <c r="AT97" s="0" t="str">
        <f aca="false">IF(AND(Y97="true",AB97="true",AE97="true",AH97="true",AK97="true"),"true","false")</f>
        <v>false</v>
      </c>
    </row>
    <row r="98" customFormat="false" ht="12.8" hidden="false" customHeight="false" outlineLevel="0" collapsed="false">
      <c r="A98" s="0" t="s">
        <v>721</v>
      </c>
      <c r="B98" s="0" t="s">
        <v>1</v>
      </c>
      <c r="C98" s="0" t="s">
        <v>468</v>
      </c>
      <c r="D98" s="0" t="s">
        <v>469</v>
      </c>
      <c r="E98" s="0" t="n">
        <v>58.456042</v>
      </c>
      <c r="F98" s="0" t="s">
        <v>470</v>
      </c>
      <c r="G98" s="1" t="s">
        <v>5</v>
      </c>
      <c r="H98" s="0" t="n">
        <v>41.791986</v>
      </c>
      <c r="I98" s="0" t="s">
        <v>471</v>
      </c>
      <c r="J98" s="1" t="s">
        <v>5</v>
      </c>
      <c r="K98" s="0" t="n">
        <v>29.470008</v>
      </c>
      <c r="L98" s="0" t="s">
        <v>486</v>
      </c>
      <c r="M98" s="1" t="s">
        <v>5</v>
      </c>
      <c r="N98" s="0" t="n">
        <v>19.57647</v>
      </c>
      <c r="O98" s="0" t="s">
        <v>473</v>
      </c>
      <c r="P98" s="1" t="s">
        <v>5</v>
      </c>
      <c r="Q98" s="0" t="n">
        <v>5.304955</v>
      </c>
      <c r="R98" s="0" t="s">
        <v>15</v>
      </c>
      <c r="S98" s="1" t="s">
        <v>6</v>
      </c>
      <c r="T98" s="0" t="s">
        <v>10</v>
      </c>
      <c r="U98" s="0" t="s">
        <v>474</v>
      </c>
      <c r="V98" s="0" t="s">
        <v>469</v>
      </c>
      <c r="W98" s="0" t="n">
        <v>10.709774</v>
      </c>
      <c r="Y98" s="1" t="s">
        <v>6</v>
      </c>
      <c r="Z98" s="0" t="n">
        <v>0.702351</v>
      </c>
      <c r="AB98" s="1" t="s">
        <v>6</v>
      </c>
      <c r="AC98" s="0" t="n">
        <v>0.227133</v>
      </c>
      <c r="AE98" s="1" t="s">
        <v>6</v>
      </c>
      <c r="AF98" s="0" t="n">
        <v>1.257207</v>
      </c>
      <c r="AH98" s="1" t="s">
        <v>6</v>
      </c>
      <c r="AI98" s="0" t="n">
        <v>0.975</v>
      </c>
      <c r="AK98" s="1" t="s">
        <v>6</v>
      </c>
      <c r="AL98" s="0" t="s">
        <v>468</v>
      </c>
      <c r="AM98" s="0" t="s">
        <v>474</v>
      </c>
      <c r="AN98" s="0" t="s">
        <v>469</v>
      </c>
      <c r="AO98" s="0" t="n">
        <v>1.039487</v>
      </c>
      <c r="AS98" s="2" t="str">
        <f aca="false">IF(AND(G98="true",J98="true",M98="true",P98="true",S98="true"),"true","false")</f>
        <v>false</v>
      </c>
      <c r="AT98" s="0" t="str">
        <f aca="false">IF(AND(Y98="true",AB98="true",AE98="true",AH98="true",AK98="true"),"true","false")</f>
        <v>false</v>
      </c>
    </row>
    <row r="99" customFormat="false" ht="12.8" hidden="false" customHeight="false" outlineLevel="0" collapsed="false">
      <c r="A99" s="0" t="s">
        <v>722</v>
      </c>
      <c r="B99" s="0" t="s">
        <v>1</v>
      </c>
      <c r="C99" s="0" t="s">
        <v>468</v>
      </c>
      <c r="D99" s="0" t="s">
        <v>469</v>
      </c>
      <c r="E99" s="0" t="n">
        <v>57.514703</v>
      </c>
      <c r="F99" s="0" t="s">
        <v>470</v>
      </c>
      <c r="G99" s="1" t="s">
        <v>5</v>
      </c>
      <c r="H99" s="0" t="n">
        <v>38.427994</v>
      </c>
      <c r="I99" s="0" t="s">
        <v>506</v>
      </c>
      <c r="J99" s="1" t="s">
        <v>6</v>
      </c>
      <c r="K99" s="0" t="n">
        <v>21.855515</v>
      </c>
      <c r="L99" s="0" t="s">
        <v>486</v>
      </c>
      <c r="M99" s="1" t="s">
        <v>5</v>
      </c>
      <c r="N99" s="0" t="n">
        <v>16.809289</v>
      </c>
      <c r="O99" s="0" t="s">
        <v>473</v>
      </c>
      <c r="P99" s="1" t="s">
        <v>5</v>
      </c>
      <c r="Q99" s="0" t="n">
        <v>9.129259</v>
      </c>
      <c r="R99" s="0" t="s">
        <v>15</v>
      </c>
      <c r="S99" s="1" t="s">
        <v>6</v>
      </c>
      <c r="T99" s="0" t="s">
        <v>10</v>
      </c>
      <c r="U99" s="0" t="s">
        <v>474</v>
      </c>
      <c r="V99" s="0" t="s">
        <v>469</v>
      </c>
      <c r="W99" s="0" t="n">
        <v>3.048569</v>
      </c>
      <c r="Y99" s="1" t="s">
        <v>6</v>
      </c>
      <c r="Z99" s="0" t="n">
        <v>0.651432</v>
      </c>
      <c r="AB99" s="1" t="s">
        <v>6</v>
      </c>
      <c r="AC99" s="0" t="n">
        <v>0.488328</v>
      </c>
      <c r="AE99" s="1" t="s">
        <v>6</v>
      </c>
      <c r="AF99" s="0" t="n">
        <v>1.543297</v>
      </c>
      <c r="AH99" s="1" t="s">
        <v>6</v>
      </c>
      <c r="AI99" s="0" t="n">
        <v>1.170139</v>
      </c>
      <c r="AK99" s="1" t="s">
        <v>6</v>
      </c>
      <c r="AL99" s="0" t="s">
        <v>468</v>
      </c>
      <c r="AM99" s="0" t="s">
        <v>474</v>
      </c>
      <c r="AN99" s="0" t="s">
        <v>469</v>
      </c>
      <c r="AO99" s="0" t="n">
        <v>3.551623</v>
      </c>
      <c r="AS99" s="2" t="str">
        <f aca="false">IF(AND(G99="true",J99="true",M99="true",P99="true",S99="true"),"true","false")</f>
        <v>false</v>
      </c>
      <c r="AT99" s="0" t="str">
        <f aca="false">IF(AND(Y99="true",AB99="true",AE99="true",AH99="true",AK99="true"),"true","false")</f>
        <v>false</v>
      </c>
    </row>
    <row r="100" customFormat="false" ht="12.8" hidden="false" customHeight="false" outlineLevel="0" collapsed="false">
      <c r="A100" s="0" t="s">
        <v>723</v>
      </c>
      <c r="B100" s="0" t="s">
        <v>1</v>
      </c>
      <c r="C100" s="0" t="s">
        <v>474</v>
      </c>
      <c r="D100" s="0" t="s">
        <v>469</v>
      </c>
      <c r="E100" s="0" t="n">
        <v>66.25087</v>
      </c>
      <c r="F100" s="0" t="s">
        <v>480</v>
      </c>
      <c r="G100" s="1" t="s">
        <v>5</v>
      </c>
      <c r="H100" s="0" t="n">
        <v>35.735003</v>
      </c>
      <c r="I100" s="0" t="s">
        <v>476</v>
      </c>
      <c r="J100" s="1" t="s">
        <v>5</v>
      </c>
      <c r="K100" s="0" t="n">
        <v>31.101139</v>
      </c>
      <c r="L100" s="0" t="s">
        <v>477</v>
      </c>
      <c r="M100" s="1" t="s">
        <v>5</v>
      </c>
      <c r="N100" s="0" t="n">
        <v>85.099779</v>
      </c>
      <c r="O100" s="0" t="s">
        <v>478</v>
      </c>
      <c r="P100" s="1" t="s">
        <v>5</v>
      </c>
      <c r="Q100" s="0" t="n">
        <v>28.144767</v>
      </c>
      <c r="R100" s="0" t="s">
        <v>9</v>
      </c>
      <c r="S100" s="1" t="s">
        <v>6</v>
      </c>
      <c r="T100" s="0" t="s">
        <v>10</v>
      </c>
      <c r="U100" s="0" t="s">
        <v>468</v>
      </c>
      <c r="V100" s="0" t="s">
        <v>469</v>
      </c>
      <c r="W100" s="0" t="n">
        <v>77.036824</v>
      </c>
      <c r="X100" s="0" t="s">
        <v>470</v>
      </c>
      <c r="Y100" s="1" t="s">
        <v>5</v>
      </c>
      <c r="Z100" s="0" t="n">
        <v>41.132458</v>
      </c>
      <c r="AA100" s="0" t="s">
        <v>485</v>
      </c>
      <c r="AB100" s="1" t="s">
        <v>6</v>
      </c>
      <c r="AC100" s="0" t="n">
        <v>6.801577</v>
      </c>
      <c r="AE100" s="1" t="s">
        <v>6</v>
      </c>
      <c r="AF100" s="0" t="n">
        <v>1.119923</v>
      </c>
      <c r="AH100" s="1" t="s">
        <v>6</v>
      </c>
      <c r="AI100" s="0" t="n">
        <v>2.172317</v>
      </c>
      <c r="AJ100" s="0" t="s">
        <v>51</v>
      </c>
      <c r="AK100" s="1" t="s">
        <v>6</v>
      </c>
      <c r="AL100" s="0" t="s">
        <v>474</v>
      </c>
      <c r="AM100" s="0" t="s">
        <v>468</v>
      </c>
      <c r="AN100" s="0" t="s">
        <v>469</v>
      </c>
      <c r="AO100" s="0" t="n">
        <v>4.74578</v>
      </c>
      <c r="AP100" s="0" t="n">
        <v>2</v>
      </c>
      <c r="AQ100" s="0" t="n">
        <v>2</v>
      </c>
      <c r="AS100" s="2" t="str">
        <f aca="false">IF(AND(G100="true",J100="true",M100="true",P100="true",S100="true"),"true","false")</f>
        <v>false</v>
      </c>
      <c r="AT100" s="0" t="str">
        <f aca="false">IF(AND(Y100="true",AB100="true",AE100="true",AH100="true",AK100="true"),"true","false")</f>
        <v>false</v>
      </c>
    </row>
    <row r="101" customFormat="false" ht="12.8" hidden="false" customHeight="false" outlineLevel="0" collapsed="false">
      <c r="A101" s="0" t="s">
        <v>724</v>
      </c>
      <c r="B101" s="0" t="s">
        <v>1</v>
      </c>
      <c r="C101" s="0" t="s">
        <v>474</v>
      </c>
      <c r="D101" s="0" t="s">
        <v>469</v>
      </c>
      <c r="E101" s="0" t="n">
        <v>43.903838</v>
      </c>
      <c r="F101" s="0" t="s">
        <v>480</v>
      </c>
      <c r="G101" s="1" t="s">
        <v>5</v>
      </c>
      <c r="H101" s="0" t="n">
        <v>20.02485</v>
      </c>
      <c r="I101" s="0" t="s">
        <v>477</v>
      </c>
      <c r="J101" s="1" t="s">
        <v>6</v>
      </c>
      <c r="K101" s="0" t="n">
        <v>20.0051</v>
      </c>
      <c r="L101" s="0" t="s">
        <v>477</v>
      </c>
      <c r="M101" s="1" t="s">
        <v>5</v>
      </c>
      <c r="N101" s="0" t="n">
        <v>136.223289</v>
      </c>
      <c r="O101" s="0" t="s">
        <v>725</v>
      </c>
      <c r="P101" s="1" t="s">
        <v>6</v>
      </c>
      <c r="Q101" s="0" t="n">
        <v>22.083703</v>
      </c>
      <c r="R101" s="0" t="s">
        <v>15</v>
      </c>
      <c r="S101" s="1" t="s">
        <v>6</v>
      </c>
      <c r="T101" s="0" t="s">
        <v>10</v>
      </c>
      <c r="U101" s="0" t="s">
        <v>468</v>
      </c>
      <c r="V101" s="0" t="s">
        <v>469</v>
      </c>
      <c r="W101" s="0" t="n">
        <v>36.819792</v>
      </c>
      <c r="X101" s="0" t="s">
        <v>470</v>
      </c>
      <c r="Y101" s="1" t="s">
        <v>5</v>
      </c>
      <c r="Z101" s="0" t="n">
        <v>35.048526</v>
      </c>
      <c r="AA101" s="0" t="s">
        <v>485</v>
      </c>
      <c r="AB101" s="1" t="s">
        <v>6</v>
      </c>
      <c r="AC101" s="0" t="n">
        <v>8.702705</v>
      </c>
      <c r="AD101" s="0" t="s">
        <v>537</v>
      </c>
      <c r="AE101" s="1" t="s">
        <v>6</v>
      </c>
      <c r="AF101" s="0" t="n">
        <v>29.268113</v>
      </c>
      <c r="AG101" s="0" t="s">
        <v>579</v>
      </c>
      <c r="AH101" s="1" t="s">
        <v>6</v>
      </c>
      <c r="AI101" s="0" t="n">
        <v>16.285702</v>
      </c>
      <c r="AJ101" s="0" t="s">
        <v>15</v>
      </c>
      <c r="AK101" s="1" t="s">
        <v>6</v>
      </c>
      <c r="AL101" s="0" t="s">
        <v>474</v>
      </c>
      <c r="AM101" s="0" t="s">
        <v>468</v>
      </c>
      <c r="AN101" s="0" t="s">
        <v>469</v>
      </c>
      <c r="AO101" s="0" t="n">
        <v>9.947505</v>
      </c>
      <c r="AP101" s="0" t="n">
        <v>-1</v>
      </c>
      <c r="AQ101" s="0" t="n">
        <v>0</v>
      </c>
      <c r="AS101" s="2" t="str">
        <f aca="false">IF(AND(G101="true",J101="true",M101="true",P101="true",S101="true"),"true","false")</f>
        <v>false</v>
      </c>
      <c r="AT101" s="0" t="str">
        <f aca="false">IF(AND(Y101="true",AB101="true",AE101="true",AH101="true",AK101="true"),"true","false")</f>
        <v>false</v>
      </c>
    </row>
    <row r="102" customFormat="false" ht="12.8" hidden="false" customHeight="false" outlineLevel="0" collapsed="false">
      <c r="A102" s="0" t="s">
        <v>726</v>
      </c>
      <c r="B102" s="0" t="s">
        <v>1</v>
      </c>
      <c r="C102" s="0" t="s">
        <v>474</v>
      </c>
      <c r="D102" s="0" t="s">
        <v>469</v>
      </c>
      <c r="E102" s="0" t="n">
        <v>80.873226</v>
      </c>
      <c r="F102" s="0" t="s">
        <v>480</v>
      </c>
      <c r="G102" s="1" t="s">
        <v>5</v>
      </c>
      <c r="H102" s="0" t="n">
        <v>40.394043</v>
      </c>
      <c r="I102" s="0" t="s">
        <v>476</v>
      </c>
      <c r="J102" s="1" t="s">
        <v>5</v>
      </c>
      <c r="K102" s="0" t="n">
        <v>36.387684</v>
      </c>
      <c r="L102" s="0" t="s">
        <v>477</v>
      </c>
      <c r="M102" s="1" t="s">
        <v>5</v>
      </c>
      <c r="N102" s="0" t="n">
        <v>114.924661</v>
      </c>
      <c r="O102" s="0" t="s">
        <v>478</v>
      </c>
      <c r="P102" s="1" t="s">
        <v>5</v>
      </c>
      <c r="Q102" s="0" t="n">
        <v>16.708052</v>
      </c>
      <c r="R102" s="0" t="s">
        <v>15</v>
      </c>
      <c r="S102" s="1" t="s">
        <v>6</v>
      </c>
      <c r="T102" s="0" t="s">
        <v>10</v>
      </c>
      <c r="U102" s="0" t="s">
        <v>468</v>
      </c>
      <c r="V102" s="0" t="s">
        <v>469</v>
      </c>
      <c r="W102" s="0" t="n">
        <v>49.411532</v>
      </c>
      <c r="X102" s="0" t="s">
        <v>470</v>
      </c>
      <c r="Y102" s="1" t="s">
        <v>5</v>
      </c>
      <c r="Z102" s="0" t="n">
        <v>22.616745</v>
      </c>
      <c r="AA102" s="0" t="s">
        <v>486</v>
      </c>
      <c r="AB102" s="1" t="s">
        <v>6</v>
      </c>
      <c r="AC102" s="0" t="n">
        <v>36.337281</v>
      </c>
      <c r="AD102" s="0" t="s">
        <v>471</v>
      </c>
      <c r="AE102" s="1" t="s">
        <v>6</v>
      </c>
      <c r="AF102" s="0" t="n">
        <v>22.033381</v>
      </c>
      <c r="AG102" s="0" t="s">
        <v>727</v>
      </c>
      <c r="AH102" s="1" t="s">
        <v>6</v>
      </c>
      <c r="AI102" s="0" t="n">
        <v>19.593609</v>
      </c>
      <c r="AJ102" s="0" t="s">
        <v>9</v>
      </c>
      <c r="AK102" s="1" t="s">
        <v>5</v>
      </c>
      <c r="AL102" s="0" t="s">
        <v>474</v>
      </c>
      <c r="AM102" s="0" t="s">
        <v>468</v>
      </c>
      <c r="AN102" s="0" t="s">
        <v>469</v>
      </c>
      <c r="AO102" s="0" t="n">
        <v>6.246808</v>
      </c>
      <c r="AP102" s="0" t="n">
        <v>-1</v>
      </c>
      <c r="AQ102" s="0" t="n">
        <v>1</v>
      </c>
      <c r="AS102" s="2" t="str">
        <f aca="false">IF(AND(G102="true",J102="true",M102="true",P102="true",S102="true"),"true","false")</f>
        <v>false</v>
      </c>
      <c r="AT102" s="0" t="str">
        <f aca="false">IF(AND(Y102="true",AB102="true",AE102="true",AH102="true",AK102="true"),"true","false")</f>
        <v>false</v>
      </c>
    </row>
    <row r="103" customFormat="false" ht="12.8" hidden="false" customHeight="false" outlineLevel="0" collapsed="false">
      <c r="A103" s="0" t="s">
        <v>728</v>
      </c>
      <c r="B103" s="0" t="s">
        <v>1</v>
      </c>
      <c r="C103" s="0" t="s">
        <v>474</v>
      </c>
      <c r="D103" s="0" t="s">
        <v>469</v>
      </c>
      <c r="E103" s="0" t="n">
        <v>84.908986</v>
      </c>
      <c r="F103" s="0" t="s">
        <v>480</v>
      </c>
      <c r="G103" s="1" t="s">
        <v>5</v>
      </c>
      <c r="H103" s="0" t="n">
        <v>79.217906</v>
      </c>
      <c r="I103" s="0" t="s">
        <v>476</v>
      </c>
      <c r="J103" s="1" t="s">
        <v>5</v>
      </c>
      <c r="K103" s="0" t="n">
        <v>19.575503</v>
      </c>
      <c r="L103" s="0" t="s">
        <v>477</v>
      </c>
      <c r="M103" s="1" t="s">
        <v>5</v>
      </c>
      <c r="N103" s="0" t="n">
        <v>84.700485</v>
      </c>
      <c r="O103" s="0" t="s">
        <v>729</v>
      </c>
      <c r="P103" s="1" t="s">
        <v>6</v>
      </c>
      <c r="Q103" s="0" t="n">
        <v>8.647374</v>
      </c>
      <c r="R103" s="0" t="s">
        <v>51</v>
      </c>
      <c r="S103" s="1" t="s">
        <v>5</v>
      </c>
      <c r="T103" s="0" t="s">
        <v>10</v>
      </c>
      <c r="U103" s="0" t="s">
        <v>468</v>
      </c>
      <c r="V103" s="0" t="s">
        <v>469</v>
      </c>
      <c r="W103" s="0" t="n">
        <v>73.793354</v>
      </c>
      <c r="X103" s="0" t="s">
        <v>470</v>
      </c>
      <c r="Y103" s="1" t="s">
        <v>5</v>
      </c>
      <c r="Z103" s="0" t="n">
        <v>45.525662</v>
      </c>
      <c r="AA103" s="0" t="s">
        <v>471</v>
      </c>
      <c r="AB103" s="1" t="s">
        <v>5</v>
      </c>
      <c r="AC103" s="0" t="n">
        <v>27.709753</v>
      </c>
      <c r="AD103" s="0" t="s">
        <v>486</v>
      </c>
      <c r="AE103" s="1" t="s">
        <v>5</v>
      </c>
      <c r="AF103" s="0" t="n">
        <v>32.936608</v>
      </c>
      <c r="AG103" s="0" t="s">
        <v>473</v>
      </c>
      <c r="AH103" s="1" t="s">
        <v>5</v>
      </c>
      <c r="AI103" s="0" t="n">
        <v>12.374</v>
      </c>
      <c r="AJ103" s="0" t="s">
        <v>15</v>
      </c>
      <c r="AK103" s="1" t="s">
        <v>6</v>
      </c>
      <c r="AL103" s="0" t="s">
        <v>474</v>
      </c>
      <c r="AM103" s="0" t="s">
        <v>468</v>
      </c>
      <c r="AN103" s="0" t="s">
        <v>469</v>
      </c>
      <c r="AO103" s="0" t="n">
        <v>5.657333</v>
      </c>
      <c r="AP103" s="0" t="n">
        <v>-1</v>
      </c>
      <c r="AQ103" s="0" t="n">
        <v>2</v>
      </c>
      <c r="AS103" s="2" t="str">
        <f aca="false">IF(AND(G103="true",J103="true",M103="true",P103="true",S103="true"),"true","false")</f>
        <v>false</v>
      </c>
      <c r="AT103" s="0" t="str">
        <f aca="false">IF(AND(Y103="true",AB103="true",AE103="true",AH103="true",AK103="true"),"true","false")</f>
        <v>false</v>
      </c>
    </row>
    <row r="104" customFormat="false" ht="12.8" hidden="false" customHeight="false" outlineLevel="0" collapsed="false">
      <c r="A104" s="0" t="s">
        <v>730</v>
      </c>
      <c r="B104" s="0" t="s">
        <v>1</v>
      </c>
      <c r="C104" s="0" t="s">
        <v>468</v>
      </c>
      <c r="D104" s="0" t="s">
        <v>469</v>
      </c>
      <c r="E104" s="0" t="n">
        <v>73.487541</v>
      </c>
      <c r="F104" s="0" t="s">
        <v>470</v>
      </c>
      <c r="G104" s="1" t="s">
        <v>5</v>
      </c>
      <c r="H104" s="0" t="n">
        <v>53.894372</v>
      </c>
      <c r="I104" s="0" t="s">
        <v>492</v>
      </c>
      <c r="J104" s="1" t="s">
        <v>6</v>
      </c>
      <c r="K104" s="0" t="n">
        <v>34.85522</v>
      </c>
      <c r="L104" s="0" t="s">
        <v>486</v>
      </c>
      <c r="M104" s="1" t="s">
        <v>5</v>
      </c>
      <c r="N104" s="0" t="n">
        <v>16.293639</v>
      </c>
      <c r="O104" s="0" t="s">
        <v>473</v>
      </c>
      <c r="P104" s="1" t="s">
        <v>5</v>
      </c>
      <c r="Q104" s="0" t="n">
        <v>22.121214</v>
      </c>
      <c r="R104" s="0" t="s">
        <v>15</v>
      </c>
      <c r="S104" s="1" t="s">
        <v>6</v>
      </c>
      <c r="T104" s="0" t="s">
        <v>10</v>
      </c>
      <c r="U104" s="0" t="s">
        <v>474</v>
      </c>
      <c r="V104" s="0" t="s">
        <v>469</v>
      </c>
      <c r="W104" s="0" t="n">
        <v>46.336011</v>
      </c>
      <c r="X104" s="0" t="s">
        <v>480</v>
      </c>
      <c r="Y104" s="1" t="s">
        <v>5</v>
      </c>
      <c r="Z104" s="0" t="n">
        <v>37.543775</v>
      </c>
      <c r="AA104" s="0" t="s">
        <v>476</v>
      </c>
      <c r="AB104" s="1" t="s">
        <v>5</v>
      </c>
      <c r="AC104" s="0" t="n">
        <v>30.735484</v>
      </c>
      <c r="AD104" s="0" t="s">
        <v>477</v>
      </c>
      <c r="AE104" s="1" t="s">
        <v>5</v>
      </c>
      <c r="AF104" s="0" t="n">
        <v>54.080548</v>
      </c>
      <c r="AG104" s="0" t="s">
        <v>731</v>
      </c>
      <c r="AH104" s="1" t="s">
        <v>6</v>
      </c>
      <c r="AI104" s="0" t="n">
        <v>18.959899</v>
      </c>
      <c r="AJ104" s="0" t="s">
        <v>15</v>
      </c>
      <c r="AK104" s="1" t="s">
        <v>6</v>
      </c>
      <c r="AL104" s="0" t="s">
        <v>468</v>
      </c>
      <c r="AM104" s="0" t="s">
        <v>474</v>
      </c>
      <c r="AN104" s="0" t="s">
        <v>469</v>
      </c>
      <c r="AO104" s="0" t="n">
        <v>11.422098</v>
      </c>
      <c r="AP104" s="0" t="n">
        <v>-1</v>
      </c>
      <c r="AQ104" s="0" t="n">
        <v>1</v>
      </c>
      <c r="AS104" s="2" t="str">
        <f aca="false">IF(AND(G104="true",J104="true",M104="true",P104="true",S104="true"),"true","false")</f>
        <v>false</v>
      </c>
      <c r="AT104" s="0" t="str">
        <f aca="false">IF(AND(Y104="true",AB104="true",AE104="true",AH104="true",AK104="true"),"true","false")</f>
        <v>false</v>
      </c>
    </row>
    <row r="105" customFormat="false" ht="12.8" hidden="false" customHeight="false" outlineLevel="0" collapsed="false">
      <c r="A105" s="0" t="s">
        <v>732</v>
      </c>
      <c r="B105" s="0" t="s">
        <v>1</v>
      </c>
      <c r="C105" s="0" t="s">
        <v>468</v>
      </c>
      <c r="D105" s="0" t="s">
        <v>469</v>
      </c>
      <c r="E105" s="0" t="n">
        <v>90.401739</v>
      </c>
      <c r="F105" s="0" t="s">
        <v>470</v>
      </c>
      <c r="G105" s="1" t="s">
        <v>5</v>
      </c>
      <c r="H105" s="0" t="n">
        <v>36.651783</v>
      </c>
      <c r="I105" s="0" t="s">
        <v>471</v>
      </c>
      <c r="J105" s="1" t="s">
        <v>5</v>
      </c>
      <c r="K105" s="0" t="n">
        <v>15.842656</v>
      </c>
      <c r="L105" s="0" t="s">
        <v>486</v>
      </c>
      <c r="M105" s="1" t="s">
        <v>5</v>
      </c>
      <c r="N105" s="0" t="n">
        <v>13.955212</v>
      </c>
      <c r="O105" s="0" t="s">
        <v>473</v>
      </c>
      <c r="P105" s="1" t="s">
        <v>5</v>
      </c>
      <c r="Q105" s="0" t="n">
        <v>7.109094</v>
      </c>
      <c r="R105" s="0" t="s">
        <v>9</v>
      </c>
      <c r="S105" s="1" t="s">
        <v>6</v>
      </c>
      <c r="T105" s="0" t="s">
        <v>10</v>
      </c>
      <c r="U105" s="0" t="s">
        <v>474</v>
      </c>
      <c r="V105" s="0" t="s">
        <v>469</v>
      </c>
      <c r="W105" s="0" t="n">
        <v>28.189586</v>
      </c>
      <c r="X105" s="0" t="s">
        <v>480</v>
      </c>
      <c r="Y105" s="1" t="s">
        <v>5</v>
      </c>
      <c r="Z105" s="0" t="n">
        <v>24.947952</v>
      </c>
      <c r="AA105" s="0" t="s">
        <v>476</v>
      </c>
      <c r="AB105" s="1" t="s">
        <v>5</v>
      </c>
      <c r="AC105" s="0" t="n">
        <v>15.554643</v>
      </c>
      <c r="AD105" s="0" t="s">
        <v>477</v>
      </c>
      <c r="AE105" s="1" t="s">
        <v>5</v>
      </c>
      <c r="AF105" s="0" t="n">
        <v>31.274384</v>
      </c>
      <c r="AG105" s="0" t="s">
        <v>478</v>
      </c>
      <c r="AH105" s="1" t="s">
        <v>5</v>
      </c>
      <c r="AI105" s="0" t="n">
        <v>7.621827</v>
      </c>
      <c r="AJ105" s="0" t="s">
        <v>9</v>
      </c>
      <c r="AK105" s="1" t="s">
        <v>5</v>
      </c>
      <c r="AL105" s="0" t="s">
        <v>468</v>
      </c>
      <c r="AM105" s="0" t="s">
        <v>474</v>
      </c>
      <c r="AN105" s="0" t="s">
        <v>469</v>
      </c>
      <c r="AO105" s="0" t="n">
        <v>9.929068</v>
      </c>
      <c r="AP105" s="0" t="n">
        <v>-1</v>
      </c>
      <c r="AQ105" s="0" t="n">
        <v>2</v>
      </c>
      <c r="AS105" s="2" t="str">
        <f aca="false">IF(AND(G105="true",J105="true",M105="true",P105="true",S105="true"),"true","false")</f>
        <v>false</v>
      </c>
      <c r="AT105" s="0" t="str">
        <f aca="false">IF(AND(Y105="true",AB105="true",AE105="true",AH105="true",AK105="true"),"true","false")</f>
        <v>true</v>
      </c>
    </row>
    <row r="106" customFormat="false" ht="12.8" hidden="false" customHeight="false" outlineLevel="0" collapsed="false">
      <c r="A106" s="0" t="s">
        <v>733</v>
      </c>
      <c r="B106" s="0" t="s">
        <v>1</v>
      </c>
      <c r="C106" s="0" t="s">
        <v>468</v>
      </c>
      <c r="D106" s="0" t="s">
        <v>469</v>
      </c>
      <c r="E106" s="0" t="n">
        <v>141.349321</v>
      </c>
      <c r="F106" s="0" t="s">
        <v>470</v>
      </c>
      <c r="G106" s="1" t="s">
        <v>5</v>
      </c>
      <c r="H106" s="0" t="n">
        <v>41.690654</v>
      </c>
      <c r="I106" s="0" t="s">
        <v>471</v>
      </c>
      <c r="J106" s="1" t="s">
        <v>5</v>
      </c>
      <c r="K106" s="0" t="n">
        <v>9.231246</v>
      </c>
      <c r="L106" s="0" t="s">
        <v>734</v>
      </c>
      <c r="M106" s="1" t="s">
        <v>6</v>
      </c>
      <c r="N106" s="0" t="n">
        <v>17.94465</v>
      </c>
      <c r="O106" s="0" t="s">
        <v>473</v>
      </c>
      <c r="P106" s="1" t="s">
        <v>5</v>
      </c>
      <c r="Q106" s="0" t="n">
        <v>9.042309</v>
      </c>
      <c r="R106" s="0" t="s">
        <v>15</v>
      </c>
      <c r="S106" s="1" t="s">
        <v>6</v>
      </c>
      <c r="T106" s="0" t="s">
        <v>10</v>
      </c>
      <c r="U106" s="0" t="s">
        <v>474</v>
      </c>
      <c r="V106" s="0" t="s">
        <v>469</v>
      </c>
      <c r="W106" s="0" t="n">
        <v>49.588213</v>
      </c>
      <c r="X106" s="0" t="s">
        <v>480</v>
      </c>
      <c r="Y106" s="1" t="s">
        <v>5</v>
      </c>
      <c r="Z106" s="0" t="n">
        <v>34.807628</v>
      </c>
      <c r="AA106" s="0" t="s">
        <v>476</v>
      </c>
      <c r="AB106" s="1" t="s">
        <v>5</v>
      </c>
      <c r="AC106" s="0" t="n">
        <v>18.906262</v>
      </c>
      <c r="AD106" s="0" t="s">
        <v>477</v>
      </c>
      <c r="AE106" s="1" t="s">
        <v>5</v>
      </c>
      <c r="AF106" s="0" t="n">
        <v>65.922801</v>
      </c>
      <c r="AG106" s="0" t="s">
        <v>478</v>
      </c>
      <c r="AH106" s="1" t="s">
        <v>5</v>
      </c>
      <c r="AI106" s="0" t="n">
        <v>2.228183</v>
      </c>
      <c r="AJ106" s="0" t="s">
        <v>15</v>
      </c>
      <c r="AK106" s="1" t="s">
        <v>6</v>
      </c>
      <c r="AL106" s="0" t="s">
        <v>468</v>
      </c>
      <c r="AM106" s="0" t="s">
        <v>474</v>
      </c>
      <c r="AN106" s="0" t="s">
        <v>469</v>
      </c>
      <c r="AO106" s="0" t="n">
        <v>3.443105</v>
      </c>
      <c r="AP106" s="0" t="n">
        <v>0</v>
      </c>
      <c r="AQ106" s="0" t="n">
        <v>0</v>
      </c>
      <c r="AS106" s="2" t="str">
        <f aca="false">IF(AND(G106="true",J106="true",M106="true",P106="true",S106="true"),"true","false")</f>
        <v>false</v>
      </c>
      <c r="AT106" s="0" t="str">
        <f aca="false">IF(AND(Y106="true",AB106="true",AE106="true",AH106="true",AK106="true"),"true","false")</f>
        <v>false</v>
      </c>
    </row>
    <row r="107" customFormat="false" ht="12.8" hidden="false" customHeight="false" outlineLevel="0" collapsed="false">
      <c r="A107" s="0" t="s">
        <v>735</v>
      </c>
      <c r="B107" s="0" t="s">
        <v>1</v>
      </c>
      <c r="C107" s="0" t="s">
        <v>474</v>
      </c>
      <c r="D107" s="0" t="s">
        <v>469</v>
      </c>
      <c r="E107" s="0" t="n">
        <v>63.188524</v>
      </c>
      <c r="F107" s="0" t="s">
        <v>480</v>
      </c>
      <c r="G107" s="1" t="s">
        <v>5</v>
      </c>
      <c r="H107" s="0" t="n">
        <v>31.564051</v>
      </c>
      <c r="I107" s="0" t="s">
        <v>476</v>
      </c>
      <c r="J107" s="1" t="s">
        <v>5</v>
      </c>
      <c r="K107" s="0" t="n">
        <v>24.762431</v>
      </c>
      <c r="L107" s="0" t="s">
        <v>477</v>
      </c>
      <c r="M107" s="1" t="s">
        <v>5</v>
      </c>
      <c r="N107" s="0" t="n">
        <v>118.934795</v>
      </c>
      <c r="O107" s="0" t="s">
        <v>478</v>
      </c>
      <c r="P107" s="1" t="s">
        <v>5</v>
      </c>
      <c r="Q107" s="0" t="n">
        <v>19.860979</v>
      </c>
      <c r="R107" s="0" t="s">
        <v>15</v>
      </c>
      <c r="S107" s="1" t="s">
        <v>6</v>
      </c>
      <c r="T107" s="0" t="s">
        <v>10</v>
      </c>
      <c r="U107" s="0" t="s">
        <v>468</v>
      </c>
      <c r="V107" s="0" t="s">
        <v>469</v>
      </c>
      <c r="W107" s="0" t="n">
        <v>63.687291</v>
      </c>
      <c r="X107" s="0" t="s">
        <v>470</v>
      </c>
      <c r="Y107" s="1" t="s">
        <v>5</v>
      </c>
      <c r="Z107" s="0" t="n">
        <v>34.521833</v>
      </c>
      <c r="AA107" s="0" t="s">
        <v>485</v>
      </c>
      <c r="AB107" s="1" t="s">
        <v>6</v>
      </c>
      <c r="AC107" s="0" t="n">
        <v>19.197723</v>
      </c>
      <c r="AD107" s="0" t="s">
        <v>486</v>
      </c>
      <c r="AE107" s="1" t="s">
        <v>5</v>
      </c>
      <c r="AF107" s="0" t="n">
        <v>24.201437</v>
      </c>
      <c r="AG107" s="0" t="s">
        <v>473</v>
      </c>
      <c r="AH107" s="1" t="s">
        <v>5</v>
      </c>
      <c r="AI107" s="0" t="n">
        <v>15.01743</v>
      </c>
      <c r="AJ107" s="0" t="s">
        <v>15</v>
      </c>
      <c r="AK107" s="1" t="s">
        <v>6</v>
      </c>
      <c r="AL107" s="0" t="s">
        <v>474</v>
      </c>
      <c r="AM107" s="0" t="s">
        <v>468</v>
      </c>
      <c r="AN107" s="0" t="s">
        <v>469</v>
      </c>
      <c r="AO107" s="0" t="n">
        <v>5.78511</v>
      </c>
      <c r="AP107" s="0" t="n">
        <v>-1</v>
      </c>
      <c r="AQ107" s="0" t="n">
        <v>1</v>
      </c>
      <c r="AS107" s="2" t="str">
        <f aca="false">IF(AND(G107="true",J107="true",M107="true",P107="true",S107="true"),"true","false")</f>
        <v>false</v>
      </c>
      <c r="AT107" s="0" t="str">
        <f aca="false">IF(AND(Y107="true",AB107="true",AE107="true",AH107="true",AK107="true"),"true","false")</f>
        <v>false</v>
      </c>
    </row>
    <row r="108" customFormat="false" ht="12.8" hidden="false" customHeight="false" outlineLevel="0" collapsed="false">
      <c r="A108" s="0" t="s">
        <v>736</v>
      </c>
      <c r="B108" s="0" t="s">
        <v>1</v>
      </c>
      <c r="C108" s="0" t="s">
        <v>468</v>
      </c>
      <c r="D108" s="0" t="s">
        <v>469</v>
      </c>
      <c r="E108" s="0" t="n">
        <v>69.118943</v>
      </c>
      <c r="F108" s="0" t="s">
        <v>619</v>
      </c>
      <c r="G108" s="1" t="s">
        <v>6</v>
      </c>
      <c r="H108" s="0" t="n">
        <v>38.921656</v>
      </c>
      <c r="I108" s="0" t="s">
        <v>471</v>
      </c>
      <c r="J108" s="1" t="s">
        <v>5</v>
      </c>
      <c r="K108" s="0" t="n">
        <v>20.812258</v>
      </c>
      <c r="L108" s="0" t="s">
        <v>486</v>
      </c>
      <c r="M108" s="1" t="s">
        <v>5</v>
      </c>
      <c r="N108" s="0" t="n">
        <v>18.54431</v>
      </c>
      <c r="O108" s="0" t="s">
        <v>473</v>
      </c>
      <c r="P108" s="1" t="s">
        <v>5</v>
      </c>
      <c r="Q108" s="0" t="n">
        <v>26.240754</v>
      </c>
      <c r="R108" s="0" t="s">
        <v>9</v>
      </c>
      <c r="S108" s="1" t="s">
        <v>6</v>
      </c>
      <c r="T108" s="0" t="s">
        <v>10</v>
      </c>
      <c r="U108" s="0" t="s">
        <v>474</v>
      </c>
      <c r="V108" s="0" t="s">
        <v>469</v>
      </c>
      <c r="W108" s="0" t="n">
        <v>50.434125</v>
      </c>
      <c r="X108" s="0" t="s">
        <v>480</v>
      </c>
      <c r="Y108" s="1" t="s">
        <v>5</v>
      </c>
      <c r="Z108" s="0" t="n">
        <v>24.66479</v>
      </c>
      <c r="AA108" s="0" t="s">
        <v>477</v>
      </c>
      <c r="AB108" s="1" t="s">
        <v>6</v>
      </c>
      <c r="AC108" s="0" t="n">
        <v>17.879815</v>
      </c>
      <c r="AD108" s="0" t="s">
        <v>476</v>
      </c>
      <c r="AE108" s="1" t="s">
        <v>6</v>
      </c>
      <c r="AF108" s="0" t="n">
        <v>34.710268</v>
      </c>
      <c r="AG108" s="0" t="s">
        <v>478</v>
      </c>
      <c r="AH108" s="1" t="s">
        <v>5</v>
      </c>
      <c r="AI108" s="0" t="n">
        <v>10.827329</v>
      </c>
      <c r="AJ108" s="0" t="s">
        <v>9</v>
      </c>
      <c r="AK108" s="1" t="s">
        <v>5</v>
      </c>
      <c r="AL108" s="0" t="s">
        <v>468</v>
      </c>
      <c r="AM108" s="0" t="s">
        <v>474</v>
      </c>
      <c r="AN108" s="0" t="s">
        <v>469</v>
      </c>
      <c r="AO108" s="0" t="n">
        <v>34.79433</v>
      </c>
      <c r="AP108" s="0" t="n">
        <v>0</v>
      </c>
      <c r="AQ108" s="0" t="n">
        <v>0</v>
      </c>
      <c r="AR108" s="0" t="s">
        <v>737</v>
      </c>
      <c r="AS108" s="2" t="str">
        <f aca="false">IF(AND(G108="true",J108="true",M108="true",P108="true",S108="true"),"true","false")</f>
        <v>false</v>
      </c>
      <c r="AT108" s="0" t="str">
        <f aca="false">IF(AND(Y108="true",AB108="true",AE108="true",AH108="true",AK108="true"),"true","false")</f>
        <v>false</v>
      </c>
    </row>
    <row r="109" customFormat="false" ht="12.8" hidden="false" customHeight="false" outlineLevel="0" collapsed="false">
      <c r="A109" s="0" t="s">
        <v>738</v>
      </c>
      <c r="B109" s="0" t="s">
        <v>1</v>
      </c>
      <c r="C109" s="0" t="s">
        <v>468</v>
      </c>
      <c r="D109" s="0" t="s">
        <v>469</v>
      </c>
      <c r="E109" s="0" t="n">
        <v>50.275324</v>
      </c>
      <c r="F109" s="0" t="s">
        <v>494</v>
      </c>
      <c r="G109" s="1" t="s">
        <v>6</v>
      </c>
      <c r="H109" s="0" t="n">
        <v>29.622384</v>
      </c>
      <c r="I109" s="0" t="s">
        <v>485</v>
      </c>
      <c r="J109" s="1" t="s">
        <v>6</v>
      </c>
      <c r="K109" s="0" t="n">
        <v>6.720868</v>
      </c>
      <c r="L109" s="0" t="s">
        <v>516</v>
      </c>
      <c r="M109" s="1" t="s">
        <v>6</v>
      </c>
      <c r="N109" s="0" t="n">
        <v>23.287079</v>
      </c>
      <c r="O109" s="0" t="s">
        <v>473</v>
      </c>
      <c r="P109" s="1" t="s">
        <v>5</v>
      </c>
      <c r="Q109" s="0" t="n">
        <v>19.74372</v>
      </c>
      <c r="R109" s="0" t="s">
        <v>15</v>
      </c>
      <c r="S109" s="1" t="s">
        <v>6</v>
      </c>
      <c r="T109" s="0" t="s">
        <v>10</v>
      </c>
      <c r="U109" s="0" t="s">
        <v>474</v>
      </c>
      <c r="V109" s="0" t="s">
        <v>469</v>
      </c>
      <c r="W109" s="0" t="n">
        <v>59.674339</v>
      </c>
      <c r="X109" s="0" t="s">
        <v>480</v>
      </c>
      <c r="Y109" s="1" t="s">
        <v>5</v>
      </c>
      <c r="Z109" s="0" t="n">
        <v>15.35982</v>
      </c>
      <c r="AA109" s="0" t="s">
        <v>502</v>
      </c>
      <c r="AB109" s="1" t="s">
        <v>6</v>
      </c>
      <c r="AC109" s="0" t="n">
        <v>22.537011</v>
      </c>
      <c r="AD109" s="0" t="s">
        <v>476</v>
      </c>
      <c r="AE109" s="1" t="s">
        <v>6</v>
      </c>
      <c r="AF109" s="0" t="n">
        <v>35.035185</v>
      </c>
      <c r="AG109" s="0" t="s">
        <v>729</v>
      </c>
      <c r="AH109" s="1" t="s">
        <v>6</v>
      </c>
      <c r="AI109" s="0" t="n">
        <v>28.959349</v>
      </c>
      <c r="AJ109" s="0" t="s">
        <v>15</v>
      </c>
      <c r="AK109" s="1" t="s">
        <v>6</v>
      </c>
      <c r="AL109" s="0" t="s">
        <v>468</v>
      </c>
      <c r="AM109" s="0" t="s">
        <v>474</v>
      </c>
      <c r="AN109" s="0" t="s">
        <v>469</v>
      </c>
      <c r="AO109" s="0" t="n">
        <v>5.656922</v>
      </c>
      <c r="AP109" s="0" t="n">
        <v>0</v>
      </c>
      <c r="AQ109" s="0" t="n">
        <v>1</v>
      </c>
      <c r="AS109" s="2" t="str">
        <f aca="false">IF(AND(G109="true",J109="true",M109="true",P109="true",S109="true"),"true","false")</f>
        <v>false</v>
      </c>
      <c r="AT109" s="0" t="str">
        <f aca="false">IF(AND(Y109="true",AB109="true",AE109="true",AH109="true",AK109="true"),"true","false")</f>
        <v>false</v>
      </c>
    </row>
    <row r="110" customFormat="false" ht="12.8" hidden="false" customHeight="false" outlineLevel="0" collapsed="false">
      <c r="A110" s="0" t="s">
        <v>739</v>
      </c>
      <c r="B110" s="0" t="s">
        <v>1</v>
      </c>
      <c r="C110" s="0" t="s">
        <v>474</v>
      </c>
      <c r="D110" s="0" t="s">
        <v>469</v>
      </c>
      <c r="E110" s="0" t="n">
        <v>66.693307</v>
      </c>
      <c r="F110" s="0" t="s">
        <v>740</v>
      </c>
      <c r="G110" s="1" t="s">
        <v>6</v>
      </c>
      <c r="H110" s="0" t="n">
        <v>31.967487</v>
      </c>
      <c r="I110" s="0" t="s">
        <v>741</v>
      </c>
      <c r="J110" s="1" t="s">
        <v>6</v>
      </c>
      <c r="K110" s="0" t="n">
        <v>30.369452</v>
      </c>
      <c r="L110" s="0" t="s">
        <v>477</v>
      </c>
      <c r="M110" s="1" t="s">
        <v>5</v>
      </c>
      <c r="N110" s="0" t="n">
        <v>87.370276</v>
      </c>
      <c r="O110" s="0" t="s">
        <v>525</v>
      </c>
      <c r="P110" s="1" t="s">
        <v>6</v>
      </c>
      <c r="Q110" s="0" t="n">
        <v>13.855742</v>
      </c>
      <c r="R110" s="0" t="s">
        <v>15</v>
      </c>
      <c r="S110" s="1" t="s">
        <v>6</v>
      </c>
      <c r="T110" s="0" t="s">
        <v>10</v>
      </c>
      <c r="U110" s="0" t="s">
        <v>468</v>
      </c>
      <c r="V110" s="0" t="s">
        <v>469</v>
      </c>
      <c r="W110" s="0" t="n">
        <v>64.055568</v>
      </c>
      <c r="X110" s="0" t="s">
        <v>492</v>
      </c>
      <c r="Y110" s="1" t="s">
        <v>6</v>
      </c>
      <c r="Z110" s="0" t="n">
        <v>20.797582</v>
      </c>
      <c r="AA110" s="0" t="s">
        <v>537</v>
      </c>
      <c r="AB110" s="1" t="s">
        <v>6</v>
      </c>
      <c r="AC110" s="0" t="n">
        <v>48.806126</v>
      </c>
      <c r="AD110" s="0" t="s">
        <v>471</v>
      </c>
      <c r="AE110" s="1" t="s">
        <v>6</v>
      </c>
      <c r="AF110" s="0" t="n">
        <v>31.172785</v>
      </c>
      <c r="AG110" s="0" t="s">
        <v>473</v>
      </c>
      <c r="AH110" s="1" t="s">
        <v>5</v>
      </c>
      <c r="AI110" s="0" t="n">
        <v>48.495759</v>
      </c>
      <c r="AJ110" s="0" t="s">
        <v>9</v>
      </c>
      <c r="AK110" s="1" t="s">
        <v>5</v>
      </c>
      <c r="AL110" s="0" t="s">
        <v>474</v>
      </c>
      <c r="AM110" s="0" t="s">
        <v>468</v>
      </c>
      <c r="AN110" s="0" t="s">
        <v>469</v>
      </c>
      <c r="AO110" s="0" t="n">
        <v>17.512361</v>
      </c>
      <c r="AP110" s="0" t="n">
        <v>1</v>
      </c>
      <c r="AQ110" s="0" t="n">
        <v>2</v>
      </c>
      <c r="AS110" s="2" t="str">
        <f aca="false">IF(AND(G110="true",J110="true",M110="true",P110="true",S110="true"),"true","false")</f>
        <v>false</v>
      </c>
      <c r="AT110" s="0" t="str">
        <f aca="false">IF(AND(Y110="true",AB110="true",AE110="true",AH110="true",AK110="true"),"true","false")</f>
        <v>false</v>
      </c>
    </row>
    <row r="111" customFormat="false" ht="12.8" hidden="false" customHeight="false" outlineLevel="0" collapsed="false">
      <c r="A111" s="0" t="s">
        <v>742</v>
      </c>
      <c r="B111" s="0" t="s">
        <v>1</v>
      </c>
      <c r="C111" s="0" t="s">
        <v>468</v>
      </c>
      <c r="D111" s="0" t="s">
        <v>469</v>
      </c>
      <c r="E111" s="0" t="n">
        <v>52.428981</v>
      </c>
      <c r="F111" s="0" t="s">
        <v>470</v>
      </c>
      <c r="G111" s="1" t="s">
        <v>5</v>
      </c>
      <c r="H111" s="0" t="n">
        <v>50.590066</v>
      </c>
      <c r="I111" s="0" t="s">
        <v>471</v>
      </c>
      <c r="J111" s="1" t="s">
        <v>5</v>
      </c>
      <c r="K111" s="0" t="n">
        <v>40.396041</v>
      </c>
      <c r="L111" s="0" t="s">
        <v>486</v>
      </c>
      <c r="M111" s="1" t="s">
        <v>5</v>
      </c>
      <c r="N111" s="0" t="n">
        <v>19.263788</v>
      </c>
      <c r="O111" s="0" t="s">
        <v>473</v>
      </c>
      <c r="P111" s="1" t="s">
        <v>5</v>
      </c>
      <c r="Q111" s="0" t="n">
        <v>9.180004</v>
      </c>
      <c r="R111" s="0" t="s">
        <v>15</v>
      </c>
      <c r="S111" s="1" t="s">
        <v>6</v>
      </c>
      <c r="T111" s="0" t="s">
        <v>10</v>
      </c>
      <c r="U111" s="0" t="s">
        <v>474</v>
      </c>
      <c r="V111" s="0" t="s">
        <v>469</v>
      </c>
      <c r="W111" s="0" t="n">
        <v>38.415373</v>
      </c>
      <c r="X111" s="0" t="s">
        <v>480</v>
      </c>
      <c r="Y111" s="1" t="s">
        <v>5</v>
      </c>
      <c r="Z111" s="0" t="n">
        <v>33.615297</v>
      </c>
      <c r="AA111" s="0" t="s">
        <v>476</v>
      </c>
      <c r="AB111" s="1" t="s">
        <v>5</v>
      </c>
      <c r="AC111" s="0" t="n">
        <v>14.378588</v>
      </c>
      <c r="AD111" s="0" t="s">
        <v>477</v>
      </c>
      <c r="AE111" s="1" t="s">
        <v>5</v>
      </c>
      <c r="AF111" s="0" t="n">
        <v>39.072419</v>
      </c>
      <c r="AG111" s="0" t="s">
        <v>478</v>
      </c>
      <c r="AH111" s="1" t="s">
        <v>5</v>
      </c>
      <c r="AI111" s="0" t="n">
        <v>16.184897</v>
      </c>
      <c r="AJ111" s="0" t="s">
        <v>15</v>
      </c>
      <c r="AK111" s="1" t="s">
        <v>6</v>
      </c>
      <c r="AL111" s="0" t="s">
        <v>468</v>
      </c>
      <c r="AM111" s="0" t="s">
        <v>474</v>
      </c>
      <c r="AN111" s="0" t="s">
        <v>469</v>
      </c>
      <c r="AO111" s="0" t="n">
        <v>7.27855</v>
      </c>
      <c r="AP111" s="0" t="n">
        <v>0</v>
      </c>
      <c r="AQ111" s="0" t="n">
        <v>-1</v>
      </c>
      <c r="AS111" s="2" t="str">
        <f aca="false">IF(AND(G111="true",J111="true",M111="true",P111="true",S111="true"),"true","false")</f>
        <v>false</v>
      </c>
      <c r="AT111" s="0" t="str">
        <f aca="false">IF(AND(Y111="true",AB111="true",AE111="true",AH111="true",AK111="true"),"true","false")</f>
        <v>false</v>
      </c>
    </row>
    <row r="112" customFormat="false" ht="12.8" hidden="false" customHeight="false" outlineLevel="0" collapsed="false">
      <c r="A112" s="0" t="s">
        <v>743</v>
      </c>
      <c r="B112" s="0" t="s">
        <v>1</v>
      </c>
      <c r="C112" s="0" t="s">
        <v>474</v>
      </c>
      <c r="D112" s="0" t="s">
        <v>469</v>
      </c>
      <c r="E112" s="0" t="n">
        <v>49.429765</v>
      </c>
      <c r="F112" s="0" t="s">
        <v>744</v>
      </c>
      <c r="G112" s="1" t="s">
        <v>6</v>
      </c>
      <c r="H112" s="0" t="n">
        <v>37.220323</v>
      </c>
      <c r="I112" s="0" t="s">
        <v>476</v>
      </c>
      <c r="J112" s="1" t="s">
        <v>5</v>
      </c>
      <c r="K112" s="0" t="n">
        <v>39.334953</v>
      </c>
      <c r="L112" s="0" t="s">
        <v>477</v>
      </c>
      <c r="M112" s="1" t="s">
        <v>5</v>
      </c>
      <c r="N112" s="0" t="n">
        <v>58.237464</v>
      </c>
      <c r="O112" s="0" t="s">
        <v>745</v>
      </c>
      <c r="P112" s="1" t="s">
        <v>6</v>
      </c>
      <c r="Q112" s="0" t="n">
        <v>4.245966</v>
      </c>
      <c r="R112" s="0" t="s">
        <v>15</v>
      </c>
      <c r="S112" s="1" t="s">
        <v>6</v>
      </c>
      <c r="T112" s="0" t="s">
        <v>10</v>
      </c>
      <c r="U112" s="0" t="s">
        <v>468</v>
      </c>
      <c r="V112" s="0" t="s">
        <v>469</v>
      </c>
      <c r="W112" s="0" t="n">
        <v>44.296881</v>
      </c>
      <c r="X112" s="0" t="s">
        <v>470</v>
      </c>
      <c r="Y112" s="1" t="s">
        <v>5</v>
      </c>
      <c r="Z112" s="0" t="n">
        <v>51.286275</v>
      </c>
      <c r="AA112" s="0" t="s">
        <v>486</v>
      </c>
      <c r="AB112" s="1" t="s">
        <v>6</v>
      </c>
      <c r="AC112" s="0" t="n">
        <v>30.437262</v>
      </c>
      <c r="AD112" s="0" t="s">
        <v>485</v>
      </c>
      <c r="AE112" s="1" t="s">
        <v>6</v>
      </c>
      <c r="AF112" s="0" t="n">
        <v>22.247254</v>
      </c>
      <c r="AG112" s="0" t="s">
        <v>473</v>
      </c>
      <c r="AH112" s="1" t="s">
        <v>5</v>
      </c>
      <c r="AI112" s="0" t="n">
        <v>10.123016</v>
      </c>
      <c r="AJ112" s="0" t="s">
        <v>15</v>
      </c>
      <c r="AK112" s="1" t="s">
        <v>6</v>
      </c>
      <c r="AL112" s="0" t="s">
        <v>474</v>
      </c>
      <c r="AM112" s="0" t="s">
        <v>468</v>
      </c>
      <c r="AN112" s="0" t="s">
        <v>469</v>
      </c>
      <c r="AO112" s="0" t="n">
        <v>4.163839</v>
      </c>
      <c r="AP112" s="0" t="n">
        <v>1</v>
      </c>
      <c r="AQ112" s="0" t="n">
        <v>1</v>
      </c>
      <c r="AS112" s="2" t="str">
        <f aca="false">IF(AND(G112="true",J112="true",M112="true",P112="true",S112="true"),"true","false")</f>
        <v>false</v>
      </c>
      <c r="AT112" s="0" t="str">
        <f aca="false">IF(AND(Y112="true",AB112="true",AE112="true",AH112="true",AK112="true"),"true","false")</f>
        <v>false</v>
      </c>
    </row>
    <row r="113" customFormat="false" ht="12.8" hidden="false" customHeight="false" outlineLevel="0" collapsed="false">
      <c r="A113" s="0" t="s">
        <v>746</v>
      </c>
      <c r="B113" s="0" t="s">
        <v>1</v>
      </c>
      <c r="C113" s="0" t="s">
        <v>468</v>
      </c>
      <c r="D113" s="0" t="s">
        <v>469</v>
      </c>
      <c r="E113" s="0" t="n">
        <v>55.331856</v>
      </c>
      <c r="F113" s="0" t="s">
        <v>578</v>
      </c>
      <c r="G113" s="1" t="s">
        <v>6</v>
      </c>
      <c r="H113" s="0" t="n">
        <v>83.589874</v>
      </c>
      <c r="I113" s="0" t="s">
        <v>506</v>
      </c>
      <c r="J113" s="1" t="s">
        <v>6</v>
      </c>
      <c r="K113" s="0" t="n">
        <v>33.488528</v>
      </c>
      <c r="L113" s="0" t="s">
        <v>486</v>
      </c>
      <c r="M113" s="1" t="s">
        <v>5</v>
      </c>
      <c r="N113" s="0" t="n">
        <v>20.143919</v>
      </c>
      <c r="O113" s="0" t="s">
        <v>473</v>
      </c>
      <c r="P113" s="1" t="s">
        <v>5</v>
      </c>
      <c r="Q113" s="0" t="n">
        <v>21.652959</v>
      </c>
      <c r="R113" s="0" t="s">
        <v>15</v>
      </c>
      <c r="S113" s="1" t="s">
        <v>6</v>
      </c>
      <c r="T113" s="0" t="s">
        <v>10</v>
      </c>
      <c r="U113" s="0" t="s">
        <v>474</v>
      </c>
      <c r="V113" s="0" t="s">
        <v>469</v>
      </c>
      <c r="W113" s="0" t="n">
        <v>61.161903</v>
      </c>
      <c r="X113" s="0" t="s">
        <v>480</v>
      </c>
      <c r="Y113" s="1" t="s">
        <v>5</v>
      </c>
      <c r="Z113" s="0" t="n">
        <v>22.251094</v>
      </c>
      <c r="AA113" s="0" t="s">
        <v>477</v>
      </c>
      <c r="AB113" s="1" t="s">
        <v>6</v>
      </c>
      <c r="AC113" s="0" t="n">
        <v>30.881942</v>
      </c>
      <c r="AD113" s="0" t="s">
        <v>476</v>
      </c>
      <c r="AE113" s="1" t="s">
        <v>6</v>
      </c>
      <c r="AF113" s="0" t="n">
        <v>92.022065</v>
      </c>
      <c r="AG113" s="0" t="s">
        <v>478</v>
      </c>
      <c r="AH113" s="1" t="s">
        <v>5</v>
      </c>
      <c r="AI113" s="0" t="n">
        <v>9.47135</v>
      </c>
      <c r="AJ113" s="0" t="s">
        <v>15</v>
      </c>
      <c r="AK113" s="1" t="s">
        <v>6</v>
      </c>
      <c r="AL113" s="0" t="s">
        <v>468</v>
      </c>
      <c r="AM113" s="0" t="s">
        <v>474</v>
      </c>
      <c r="AN113" s="0" t="s">
        <v>469</v>
      </c>
      <c r="AO113" s="0" t="n">
        <v>10.817598</v>
      </c>
      <c r="AP113" s="0" t="n">
        <v>0</v>
      </c>
      <c r="AQ113" s="0" t="n">
        <v>1</v>
      </c>
      <c r="AS113" s="2" t="str">
        <f aca="false">IF(AND(G113="true",J113="true",M113="true",P113="true",S113="true"),"true","false")</f>
        <v>false</v>
      </c>
      <c r="AT113" s="0" t="str">
        <f aca="false">IF(AND(Y113="true",AB113="true",AE113="true",AH113="true",AK113="true"),"true","false")</f>
        <v>false</v>
      </c>
    </row>
    <row r="114" customFormat="false" ht="12.8" hidden="false" customHeight="false" outlineLevel="0" collapsed="false">
      <c r="A114" s="0" t="s">
        <v>747</v>
      </c>
      <c r="B114" s="0" t="s">
        <v>1</v>
      </c>
      <c r="C114" s="0" t="s">
        <v>474</v>
      </c>
      <c r="D114" s="0" t="s">
        <v>469</v>
      </c>
      <c r="E114" s="0" t="n">
        <v>74.827417</v>
      </c>
      <c r="F114" s="0" t="s">
        <v>480</v>
      </c>
      <c r="G114" s="1" t="s">
        <v>5</v>
      </c>
      <c r="H114" s="0" t="n">
        <v>64.766675</v>
      </c>
      <c r="I114" s="0" t="s">
        <v>476</v>
      </c>
      <c r="J114" s="1" t="s">
        <v>5</v>
      </c>
      <c r="K114" s="0" t="n">
        <v>46.162263</v>
      </c>
      <c r="L114" s="0" t="s">
        <v>477</v>
      </c>
      <c r="M114" s="1" t="s">
        <v>5</v>
      </c>
      <c r="N114" s="0" t="n">
        <v>116.797087</v>
      </c>
      <c r="O114" s="0" t="s">
        <v>748</v>
      </c>
      <c r="P114" s="1" t="s">
        <v>6</v>
      </c>
      <c r="Q114" s="0" t="n">
        <v>12.624573</v>
      </c>
      <c r="R114" s="0" t="s">
        <v>15</v>
      </c>
      <c r="S114" s="1" t="s">
        <v>6</v>
      </c>
      <c r="T114" s="0" t="s">
        <v>10</v>
      </c>
      <c r="U114" s="0" t="s">
        <v>468</v>
      </c>
      <c r="V114" s="0" t="s">
        <v>469</v>
      </c>
      <c r="W114" s="0" t="n">
        <v>39.368536</v>
      </c>
      <c r="X114" s="0" t="s">
        <v>470</v>
      </c>
      <c r="Y114" s="1" t="s">
        <v>5</v>
      </c>
      <c r="Z114" s="0" t="n">
        <v>31.277221</v>
      </c>
      <c r="AA114" s="0" t="s">
        <v>485</v>
      </c>
      <c r="AB114" s="1" t="s">
        <v>6</v>
      </c>
      <c r="AC114" s="0" t="n">
        <v>23.706027</v>
      </c>
      <c r="AD114" s="0" t="s">
        <v>486</v>
      </c>
      <c r="AE114" s="1" t="s">
        <v>5</v>
      </c>
      <c r="AF114" s="0" t="n">
        <v>16.754346</v>
      </c>
      <c r="AG114" s="0" t="s">
        <v>473</v>
      </c>
      <c r="AH114" s="1" t="s">
        <v>5</v>
      </c>
      <c r="AI114" s="0" t="n">
        <v>5.179635</v>
      </c>
      <c r="AJ114" s="0" t="s">
        <v>15</v>
      </c>
      <c r="AK114" s="1" t="s">
        <v>6</v>
      </c>
      <c r="AL114" s="0" t="s">
        <v>474</v>
      </c>
      <c r="AM114" s="0" t="s">
        <v>468</v>
      </c>
      <c r="AN114" s="0" t="s">
        <v>469</v>
      </c>
      <c r="AO114" s="0" t="n">
        <v>10.51887</v>
      </c>
      <c r="AP114" s="0" t="n">
        <v>0</v>
      </c>
      <c r="AQ114" s="0" t="n">
        <v>2</v>
      </c>
      <c r="AS114" s="2" t="str">
        <f aca="false">IF(AND(G114="true",J114="true",M114="true",P114="true",S114="true"),"true","false")</f>
        <v>false</v>
      </c>
      <c r="AT114" s="0" t="str">
        <f aca="false">IF(AND(Y114="true",AB114="true",AE114="true",AH114="true",AK114="true"),"true","false")</f>
        <v>false</v>
      </c>
    </row>
    <row r="115" customFormat="false" ht="12.8" hidden="false" customHeight="false" outlineLevel="0" collapsed="false">
      <c r="A115" s="0" t="s">
        <v>749</v>
      </c>
      <c r="B115" s="0" t="s">
        <v>1</v>
      </c>
      <c r="C115" s="0" t="s">
        <v>474</v>
      </c>
      <c r="D115" s="0" t="s">
        <v>469</v>
      </c>
      <c r="E115" s="0" t="n">
        <v>60.963956</v>
      </c>
      <c r="F115" s="0" t="s">
        <v>480</v>
      </c>
      <c r="G115" s="1" t="s">
        <v>5</v>
      </c>
      <c r="H115" s="0" t="n">
        <v>22.112163</v>
      </c>
      <c r="I115" s="0" t="s">
        <v>476</v>
      </c>
      <c r="J115" s="1" t="s">
        <v>5</v>
      </c>
      <c r="K115" s="0" t="n">
        <v>19.615088</v>
      </c>
      <c r="L115" s="0" t="s">
        <v>477</v>
      </c>
      <c r="M115" s="1" t="s">
        <v>5</v>
      </c>
      <c r="N115" s="0" t="n">
        <v>110.34155</v>
      </c>
      <c r="O115" s="0" t="s">
        <v>478</v>
      </c>
      <c r="P115" s="1" t="s">
        <v>5</v>
      </c>
      <c r="Q115" s="0" t="n">
        <v>18.384344</v>
      </c>
      <c r="R115" s="0" t="s">
        <v>15</v>
      </c>
      <c r="S115" s="1" t="s">
        <v>6</v>
      </c>
      <c r="T115" s="0" t="s">
        <v>10</v>
      </c>
      <c r="U115" s="0" t="s">
        <v>468</v>
      </c>
      <c r="V115" s="0" t="s">
        <v>469</v>
      </c>
      <c r="W115" s="0" t="n">
        <v>35.375151</v>
      </c>
      <c r="X115" s="0" t="s">
        <v>470</v>
      </c>
      <c r="Y115" s="1" t="s">
        <v>5</v>
      </c>
      <c r="Z115" s="0" t="n">
        <v>29.790031</v>
      </c>
      <c r="AA115" s="0" t="s">
        <v>471</v>
      </c>
      <c r="AB115" s="1" t="s">
        <v>5</v>
      </c>
      <c r="AC115" s="0" t="n">
        <v>29.549194</v>
      </c>
      <c r="AD115" s="0" t="s">
        <v>486</v>
      </c>
      <c r="AE115" s="1" t="s">
        <v>5</v>
      </c>
      <c r="AF115" s="0" t="n">
        <v>22.480241</v>
      </c>
      <c r="AG115" s="0" t="s">
        <v>473</v>
      </c>
      <c r="AH115" s="1" t="s">
        <v>5</v>
      </c>
      <c r="AI115" s="0" t="n">
        <v>15.639571</v>
      </c>
      <c r="AJ115" s="0" t="s">
        <v>15</v>
      </c>
      <c r="AK115" s="1" t="s">
        <v>6</v>
      </c>
      <c r="AL115" s="0" t="s">
        <v>474</v>
      </c>
      <c r="AM115" s="0" t="s">
        <v>468</v>
      </c>
      <c r="AN115" s="0" t="s">
        <v>469</v>
      </c>
      <c r="AO115" s="0" t="n">
        <v>7.297946</v>
      </c>
      <c r="AP115" s="0" t="n">
        <v>-1</v>
      </c>
      <c r="AQ115" s="0" t="n">
        <v>0</v>
      </c>
      <c r="AS115" s="2" t="str">
        <f aca="false">IF(AND(G115="true",J115="true",M115="true",P115="true",S115="true"),"true","false")</f>
        <v>false</v>
      </c>
      <c r="AT115" s="0" t="str">
        <f aca="false">IF(AND(Y115="true",AB115="true",AE115="true",AH115="true",AK115="true"),"true","false")</f>
        <v>false</v>
      </c>
    </row>
    <row r="116" customFormat="false" ht="24.05" hidden="false" customHeight="false" outlineLevel="0" collapsed="false">
      <c r="A116" s="0" t="s">
        <v>750</v>
      </c>
      <c r="B116" s="0" t="s">
        <v>1</v>
      </c>
      <c r="C116" s="0" t="s">
        <v>468</v>
      </c>
      <c r="D116" s="0" t="s">
        <v>469</v>
      </c>
      <c r="E116" s="0" t="n">
        <v>88.774534</v>
      </c>
      <c r="F116" s="0" t="s">
        <v>470</v>
      </c>
      <c r="G116" s="1" t="s">
        <v>5</v>
      </c>
      <c r="H116" s="0" t="n">
        <v>40.230677</v>
      </c>
      <c r="I116" s="0" t="s">
        <v>471</v>
      </c>
      <c r="J116" s="1" t="s">
        <v>5</v>
      </c>
      <c r="K116" s="0" t="n">
        <v>24.399998</v>
      </c>
      <c r="L116" s="0" t="s">
        <v>549</v>
      </c>
      <c r="M116" s="1" t="s">
        <v>6</v>
      </c>
      <c r="N116" s="0" t="n">
        <v>17.00918</v>
      </c>
      <c r="O116" s="0" t="s">
        <v>473</v>
      </c>
      <c r="P116" s="1" t="s">
        <v>5</v>
      </c>
      <c r="Q116" s="0" t="n">
        <v>10.79593</v>
      </c>
      <c r="R116" s="0" t="s">
        <v>15</v>
      </c>
      <c r="S116" s="1" t="s">
        <v>6</v>
      </c>
      <c r="T116" s="0" t="s">
        <v>10</v>
      </c>
      <c r="U116" s="0" t="s">
        <v>474</v>
      </c>
      <c r="V116" s="0" t="s">
        <v>469</v>
      </c>
      <c r="W116" s="0" t="n">
        <v>32.760811</v>
      </c>
      <c r="X116" s="0" t="s">
        <v>480</v>
      </c>
      <c r="Y116" s="1" t="s">
        <v>5</v>
      </c>
      <c r="Z116" s="0" t="n">
        <v>21.561599</v>
      </c>
      <c r="AA116" s="0" t="s">
        <v>501</v>
      </c>
      <c r="AB116" s="1" t="s">
        <v>6</v>
      </c>
      <c r="AC116" s="0" t="n">
        <v>6.441693</v>
      </c>
      <c r="AD116" s="0" t="s">
        <v>502</v>
      </c>
      <c r="AE116" s="1" t="s">
        <v>6</v>
      </c>
      <c r="AF116" s="0" t="n">
        <v>77.638197</v>
      </c>
      <c r="AG116" s="0" t="s">
        <v>478</v>
      </c>
      <c r="AH116" s="1" t="s">
        <v>5</v>
      </c>
      <c r="AI116" s="0" t="n">
        <v>9.452685</v>
      </c>
      <c r="AJ116" s="0" t="s">
        <v>15</v>
      </c>
      <c r="AK116" s="1" t="s">
        <v>6</v>
      </c>
      <c r="AL116" s="0" t="s">
        <v>468</v>
      </c>
      <c r="AM116" s="0" t="s">
        <v>474</v>
      </c>
      <c r="AN116" s="0" t="s">
        <v>469</v>
      </c>
      <c r="AO116" s="0" t="n">
        <v>48.90919</v>
      </c>
      <c r="AP116" s="0" t="n">
        <v>1</v>
      </c>
      <c r="AQ116" s="0" t="n">
        <v>1</v>
      </c>
      <c r="AR116" s="3" t="s">
        <v>751</v>
      </c>
      <c r="AS116" s="2" t="str">
        <f aca="false">IF(AND(G116="true",J116="true",M116="true",P116="true",S116="true"),"true","false")</f>
        <v>false</v>
      </c>
      <c r="AT116" s="0" t="str">
        <f aca="false">IF(AND(Y116="true",AB116="true",AE116="true",AH116="true",AK116="true"),"true","false")</f>
        <v>false</v>
      </c>
    </row>
    <row r="117" customFormat="false" ht="12.8" hidden="false" customHeight="false" outlineLevel="0" collapsed="false">
      <c r="A117" s="0" t="s">
        <v>752</v>
      </c>
      <c r="B117" s="0" t="s">
        <v>1</v>
      </c>
      <c r="C117" s="0" t="s">
        <v>474</v>
      </c>
      <c r="D117" s="0" t="s">
        <v>469</v>
      </c>
      <c r="E117" s="0" t="n">
        <v>55.573321</v>
      </c>
      <c r="F117" s="0" t="s">
        <v>480</v>
      </c>
      <c r="G117" s="1" t="s">
        <v>5</v>
      </c>
      <c r="H117" s="0" t="n">
        <v>26.526967</v>
      </c>
      <c r="I117" s="0" t="s">
        <v>476</v>
      </c>
      <c r="J117" s="1" t="s">
        <v>5</v>
      </c>
      <c r="K117" s="0" t="n">
        <v>21.349643</v>
      </c>
      <c r="L117" s="0" t="s">
        <v>477</v>
      </c>
      <c r="M117" s="1" t="s">
        <v>5</v>
      </c>
      <c r="N117" s="0" t="n">
        <v>90.797584</v>
      </c>
      <c r="O117" s="0" t="s">
        <v>753</v>
      </c>
      <c r="P117" s="1" t="s">
        <v>6</v>
      </c>
      <c r="Q117" s="0" t="n">
        <v>18.713703</v>
      </c>
      <c r="R117" s="0" t="s">
        <v>9</v>
      </c>
      <c r="S117" s="1" t="s">
        <v>6</v>
      </c>
      <c r="T117" s="0" t="s">
        <v>10</v>
      </c>
      <c r="U117" s="0" t="s">
        <v>468</v>
      </c>
      <c r="V117" s="0" t="s">
        <v>469</v>
      </c>
      <c r="W117" s="0" t="n">
        <v>48.916665</v>
      </c>
      <c r="X117" s="0" t="s">
        <v>470</v>
      </c>
      <c r="Y117" s="1" t="s">
        <v>5</v>
      </c>
      <c r="Z117" s="0" t="n">
        <v>59.30291</v>
      </c>
      <c r="AA117" s="0" t="s">
        <v>471</v>
      </c>
      <c r="AB117" s="1" t="s">
        <v>5</v>
      </c>
      <c r="AC117" s="0" t="n">
        <v>11.915191</v>
      </c>
      <c r="AD117" s="0" t="s">
        <v>537</v>
      </c>
      <c r="AE117" s="1" t="s">
        <v>6</v>
      </c>
      <c r="AF117" s="0" t="n">
        <v>11.433391</v>
      </c>
      <c r="AG117" s="0" t="s">
        <v>473</v>
      </c>
      <c r="AH117" s="1" t="s">
        <v>5</v>
      </c>
      <c r="AI117" s="0" t="n">
        <v>29.778802</v>
      </c>
      <c r="AJ117" s="0" t="s">
        <v>9</v>
      </c>
      <c r="AK117" s="1" t="s">
        <v>5</v>
      </c>
      <c r="AL117" s="0" t="s">
        <v>474</v>
      </c>
      <c r="AM117" s="0" t="s">
        <v>468</v>
      </c>
      <c r="AN117" s="0" t="s">
        <v>469</v>
      </c>
      <c r="AO117" s="0" t="n">
        <v>9.696979</v>
      </c>
      <c r="AP117" s="0" t="n">
        <v>-1</v>
      </c>
      <c r="AQ117" s="0" t="n">
        <v>1</v>
      </c>
      <c r="AS117" s="2" t="str">
        <f aca="false">IF(AND(G117="true",J117="true",M117="true",P117="true",S117="true"),"true","false")</f>
        <v>false</v>
      </c>
      <c r="AT117" s="0" t="str">
        <f aca="false">IF(AND(Y117="true",AB117="true",AE117="true",AH117="true",AK117="true"),"true","false")</f>
        <v>false</v>
      </c>
    </row>
    <row r="118" customFormat="false" ht="12.8" hidden="false" customHeight="false" outlineLevel="0" collapsed="false">
      <c r="A118" s="0" t="s">
        <v>754</v>
      </c>
      <c r="B118" s="0" t="s">
        <v>1</v>
      </c>
      <c r="C118" s="0" t="s">
        <v>474</v>
      </c>
      <c r="D118" s="0" t="s">
        <v>469</v>
      </c>
      <c r="E118" s="0" t="n">
        <v>165.092872</v>
      </c>
      <c r="F118" s="0" t="s">
        <v>755</v>
      </c>
      <c r="G118" s="1" t="s">
        <v>6</v>
      </c>
      <c r="H118" s="0" t="n">
        <v>7.683926</v>
      </c>
      <c r="I118" s="0" t="s">
        <v>756</v>
      </c>
      <c r="J118" s="1" t="s">
        <v>6</v>
      </c>
      <c r="K118" s="0" t="n">
        <v>4.87771</v>
      </c>
      <c r="L118" s="0" t="s">
        <v>757</v>
      </c>
      <c r="M118" s="1" t="s">
        <v>6</v>
      </c>
      <c r="N118" s="0" t="n">
        <v>8.492139</v>
      </c>
      <c r="O118" s="0" t="s">
        <v>758</v>
      </c>
      <c r="P118" s="1" t="s">
        <v>6</v>
      </c>
      <c r="Q118" s="0" t="n">
        <v>8.953404</v>
      </c>
      <c r="R118" s="0" t="s">
        <v>51</v>
      </c>
      <c r="S118" s="1" t="s">
        <v>5</v>
      </c>
      <c r="T118" s="0" t="s">
        <v>10</v>
      </c>
      <c r="U118" s="0" t="s">
        <v>468</v>
      </c>
      <c r="V118" s="0" t="s">
        <v>469</v>
      </c>
      <c r="W118" s="0" t="n">
        <v>41.054649</v>
      </c>
      <c r="X118" s="0" t="s">
        <v>470</v>
      </c>
      <c r="Y118" s="1" t="s">
        <v>5</v>
      </c>
      <c r="Z118" s="0" t="n">
        <v>19.08031</v>
      </c>
      <c r="AA118" s="0" t="s">
        <v>485</v>
      </c>
      <c r="AB118" s="1" t="s">
        <v>6</v>
      </c>
      <c r="AC118" s="0" t="n">
        <v>7.038393</v>
      </c>
      <c r="AD118" s="0" t="s">
        <v>537</v>
      </c>
      <c r="AE118" s="1" t="s">
        <v>6</v>
      </c>
      <c r="AF118" s="0" t="n">
        <v>37.110543</v>
      </c>
      <c r="AG118" s="0" t="s">
        <v>473</v>
      </c>
      <c r="AH118" s="1" t="s">
        <v>5</v>
      </c>
      <c r="AI118" s="0" t="n">
        <v>12.495779</v>
      </c>
      <c r="AJ118" s="0" t="s">
        <v>9</v>
      </c>
      <c r="AK118" s="1" t="s">
        <v>5</v>
      </c>
      <c r="AL118" s="0" t="s">
        <v>474</v>
      </c>
      <c r="AM118" s="0" t="s">
        <v>468</v>
      </c>
      <c r="AN118" s="0" t="s">
        <v>469</v>
      </c>
      <c r="AO118" s="0" t="n">
        <v>13.039483</v>
      </c>
      <c r="AP118" s="0" t="n">
        <v>-2</v>
      </c>
      <c r="AQ118" s="0" t="n">
        <v>2</v>
      </c>
      <c r="AR118" s="0" t="s">
        <v>759</v>
      </c>
      <c r="AS118" s="2" t="str">
        <f aca="false">IF(AND(G118="true",J118="true",M118="true",P118="true",S118="true"),"true","false")</f>
        <v>false</v>
      </c>
      <c r="AT118" s="0" t="str">
        <f aca="false">IF(AND(Y118="true",AB118="true",AE118="true",AH118="true",AK118="true"),"true","false")</f>
        <v>false</v>
      </c>
    </row>
    <row r="119" customFormat="false" ht="12.8" hidden="false" customHeight="false" outlineLevel="0" collapsed="false">
      <c r="A119" s="0" t="s">
        <v>760</v>
      </c>
      <c r="B119" s="0" t="s">
        <v>1</v>
      </c>
      <c r="C119" s="0" t="s">
        <v>474</v>
      </c>
      <c r="D119" s="0" t="s">
        <v>469</v>
      </c>
      <c r="E119" s="0" t="n">
        <v>56.143491</v>
      </c>
      <c r="F119" s="0" t="s">
        <v>480</v>
      </c>
      <c r="G119" s="1" t="s">
        <v>5</v>
      </c>
      <c r="H119" s="0" t="n">
        <v>27.319696</v>
      </c>
      <c r="I119" s="0" t="s">
        <v>476</v>
      </c>
      <c r="J119" s="1" t="s">
        <v>5</v>
      </c>
      <c r="K119" s="0" t="n">
        <v>18.573588</v>
      </c>
      <c r="L119" s="0" t="s">
        <v>477</v>
      </c>
      <c r="M119" s="1" t="s">
        <v>5</v>
      </c>
      <c r="N119" s="0" t="n">
        <v>124.853785</v>
      </c>
      <c r="O119" s="0" t="s">
        <v>478</v>
      </c>
      <c r="P119" s="1" t="s">
        <v>5</v>
      </c>
      <c r="Q119" s="0" t="n">
        <v>24.113802</v>
      </c>
      <c r="R119" s="0" t="s">
        <v>9</v>
      </c>
      <c r="S119" s="1" t="s">
        <v>6</v>
      </c>
      <c r="T119" s="0" t="s">
        <v>10</v>
      </c>
      <c r="U119" s="0" t="s">
        <v>468</v>
      </c>
      <c r="V119" s="0" t="s">
        <v>469</v>
      </c>
      <c r="W119" s="0" t="n">
        <v>39.994363</v>
      </c>
      <c r="X119" s="0" t="s">
        <v>470</v>
      </c>
      <c r="Y119" s="1" t="s">
        <v>5</v>
      </c>
      <c r="Z119" s="0" t="n">
        <v>40.364604</v>
      </c>
      <c r="AA119" s="0" t="s">
        <v>494</v>
      </c>
      <c r="AB119" s="1" t="s">
        <v>6</v>
      </c>
      <c r="AC119" s="0" t="n">
        <v>28.160928</v>
      </c>
      <c r="AD119" s="0" t="s">
        <v>486</v>
      </c>
      <c r="AE119" s="1" t="s">
        <v>5</v>
      </c>
      <c r="AF119" s="0" t="n">
        <v>14.485241</v>
      </c>
      <c r="AG119" s="0" t="s">
        <v>473</v>
      </c>
      <c r="AH119" s="1" t="s">
        <v>5</v>
      </c>
      <c r="AI119" s="0" t="n">
        <v>10.544841</v>
      </c>
      <c r="AJ119" s="0" t="s">
        <v>9</v>
      </c>
      <c r="AK119" s="1" t="s">
        <v>5</v>
      </c>
      <c r="AL119" s="0" t="s">
        <v>474</v>
      </c>
      <c r="AM119" s="0" t="s">
        <v>468</v>
      </c>
      <c r="AN119" s="0" t="s">
        <v>469</v>
      </c>
      <c r="AO119" s="0" t="n">
        <v>5.284169</v>
      </c>
      <c r="AP119" s="0" t="n">
        <v>2</v>
      </c>
      <c r="AQ119" s="0" t="n">
        <v>1</v>
      </c>
      <c r="AS119" s="2" t="str">
        <f aca="false">IF(AND(G119="true",J119="true",M119="true",P119="true",S119="true"),"true","false")</f>
        <v>false</v>
      </c>
      <c r="AT119" s="0" t="str">
        <f aca="false">IF(AND(Y119="true",AB119="true",AE119="true",AH119="true",AK119="true"),"true","false")</f>
        <v>false</v>
      </c>
    </row>
    <row r="120" customFormat="false" ht="12.8" hidden="false" customHeight="false" outlineLevel="0" collapsed="false">
      <c r="A120" s="0" t="s">
        <v>761</v>
      </c>
      <c r="B120" s="0" t="s">
        <v>1</v>
      </c>
      <c r="C120" s="0" t="s">
        <v>474</v>
      </c>
      <c r="D120" s="0" t="s">
        <v>469</v>
      </c>
      <c r="E120" s="0" t="n">
        <v>175.906617</v>
      </c>
      <c r="F120" s="0" t="s">
        <v>488</v>
      </c>
      <c r="G120" s="1" t="s">
        <v>6</v>
      </c>
      <c r="H120" s="0" t="n">
        <v>50.17548</v>
      </c>
      <c r="I120" s="0" t="s">
        <v>476</v>
      </c>
      <c r="J120" s="1" t="s">
        <v>5</v>
      </c>
      <c r="K120" s="0" t="n">
        <v>29.158667</v>
      </c>
      <c r="L120" s="0" t="s">
        <v>477</v>
      </c>
      <c r="M120" s="1" t="s">
        <v>5</v>
      </c>
      <c r="N120" s="0" t="n">
        <v>90.194757</v>
      </c>
      <c r="O120" s="0" t="s">
        <v>525</v>
      </c>
      <c r="P120" s="1" t="s">
        <v>6</v>
      </c>
      <c r="Q120" s="0" t="n">
        <v>19.750805</v>
      </c>
      <c r="R120" s="0" t="s">
        <v>9</v>
      </c>
      <c r="S120" s="1" t="s">
        <v>6</v>
      </c>
      <c r="T120" s="0" t="s">
        <v>10</v>
      </c>
      <c r="U120" s="0" t="s">
        <v>468</v>
      </c>
      <c r="V120" s="0" t="s">
        <v>469</v>
      </c>
      <c r="W120" s="0" t="n">
        <v>95.353355</v>
      </c>
      <c r="X120" s="0" t="s">
        <v>470</v>
      </c>
      <c r="Y120" s="1" t="s">
        <v>5</v>
      </c>
      <c r="Z120" s="0" t="n">
        <v>62.188241</v>
      </c>
      <c r="AA120" s="0" t="s">
        <v>485</v>
      </c>
      <c r="AB120" s="1" t="s">
        <v>6</v>
      </c>
      <c r="AC120" s="0" t="n">
        <v>17.415366</v>
      </c>
      <c r="AD120" s="0" t="s">
        <v>537</v>
      </c>
      <c r="AE120" s="1" t="s">
        <v>6</v>
      </c>
      <c r="AF120" s="0" t="n">
        <v>18.239912</v>
      </c>
      <c r="AG120" s="0" t="s">
        <v>579</v>
      </c>
      <c r="AH120" s="1" t="s">
        <v>6</v>
      </c>
      <c r="AI120" s="0" t="n">
        <v>11.645561</v>
      </c>
      <c r="AJ120" s="0" t="s">
        <v>9</v>
      </c>
      <c r="AK120" s="1" t="s">
        <v>5</v>
      </c>
      <c r="AL120" s="0" t="s">
        <v>474</v>
      </c>
      <c r="AM120" s="0" t="s">
        <v>468</v>
      </c>
      <c r="AN120" s="0" t="s">
        <v>469</v>
      </c>
      <c r="AO120" s="0" t="n">
        <v>7.660357</v>
      </c>
      <c r="AP120" s="0" t="n">
        <v>2</v>
      </c>
      <c r="AQ120" s="0" t="n">
        <v>2</v>
      </c>
      <c r="AS120" s="2" t="str">
        <f aca="false">IF(AND(G120="true",J120="true",M120="true",P120="true",S120="true"),"true","false")</f>
        <v>false</v>
      </c>
      <c r="AT120" s="0" t="str">
        <f aca="false">IF(AND(Y120="true",AB120="true",AE120="true",AH120="true",AK120="true"),"true","false")</f>
        <v>false</v>
      </c>
    </row>
    <row r="121" customFormat="false" ht="12.8" hidden="false" customHeight="false" outlineLevel="0" collapsed="false">
      <c r="A121" s="0" t="s">
        <v>762</v>
      </c>
      <c r="B121" s="0" t="s">
        <v>1</v>
      </c>
      <c r="C121" s="0" t="s">
        <v>468</v>
      </c>
      <c r="D121" s="0" t="s">
        <v>469</v>
      </c>
      <c r="E121" s="0" t="n">
        <v>77.689415</v>
      </c>
      <c r="F121" s="0" t="s">
        <v>470</v>
      </c>
      <c r="G121" s="1" t="s">
        <v>5</v>
      </c>
      <c r="H121" s="0" t="n">
        <v>47.173456</v>
      </c>
      <c r="I121" s="0" t="s">
        <v>471</v>
      </c>
      <c r="J121" s="1" t="s">
        <v>5</v>
      </c>
      <c r="K121" s="0" t="n">
        <v>17.927756</v>
      </c>
      <c r="L121" s="0" t="s">
        <v>549</v>
      </c>
      <c r="M121" s="1" t="s">
        <v>6</v>
      </c>
      <c r="N121" s="0" t="n">
        <v>25.368567</v>
      </c>
      <c r="O121" s="0" t="s">
        <v>473</v>
      </c>
      <c r="P121" s="1" t="s">
        <v>5</v>
      </c>
      <c r="Q121" s="0" t="n">
        <v>24.783462</v>
      </c>
      <c r="R121" s="0" t="s">
        <v>9</v>
      </c>
      <c r="S121" s="1" t="s">
        <v>6</v>
      </c>
      <c r="T121" s="0" t="s">
        <v>10</v>
      </c>
      <c r="U121" s="0" t="s">
        <v>474</v>
      </c>
      <c r="V121" s="0" t="s">
        <v>469</v>
      </c>
      <c r="W121" s="0" t="n">
        <v>43.948114</v>
      </c>
      <c r="X121" s="0" t="s">
        <v>480</v>
      </c>
      <c r="Y121" s="1" t="s">
        <v>5</v>
      </c>
      <c r="Z121" s="0" t="n">
        <v>27.626863</v>
      </c>
      <c r="AA121" s="0" t="s">
        <v>476</v>
      </c>
      <c r="AB121" s="1" t="s">
        <v>5</v>
      </c>
      <c r="AC121" s="0" t="n">
        <v>15.758322</v>
      </c>
      <c r="AD121" s="0" t="s">
        <v>477</v>
      </c>
      <c r="AE121" s="1" t="s">
        <v>5</v>
      </c>
      <c r="AF121" s="0" t="n">
        <v>34.928508</v>
      </c>
      <c r="AG121" s="0" t="s">
        <v>478</v>
      </c>
      <c r="AH121" s="1" t="s">
        <v>5</v>
      </c>
      <c r="AI121" s="0" t="n">
        <v>7.901217</v>
      </c>
      <c r="AJ121" s="0" t="s">
        <v>15</v>
      </c>
      <c r="AK121" s="1" t="s">
        <v>6</v>
      </c>
      <c r="AL121" s="0" t="s">
        <v>468</v>
      </c>
      <c r="AM121" s="0" t="s">
        <v>474</v>
      </c>
      <c r="AN121" s="0" t="s">
        <v>469</v>
      </c>
      <c r="AO121" s="0" t="n">
        <v>12.472909</v>
      </c>
      <c r="AP121" s="0" t="n">
        <v>1</v>
      </c>
      <c r="AQ121" s="0" t="n">
        <v>1</v>
      </c>
      <c r="AS121" s="2" t="str">
        <f aca="false">IF(AND(G121="true",J121="true",M121="true",P121="true",S121="true"),"true","false")</f>
        <v>false</v>
      </c>
      <c r="AT121" s="0" t="str">
        <f aca="false">IF(AND(Y121="true",AB121="true",AE121="true",AH121="true",AK121="true"),"true","false")</f>
        <v>false</v>
      </c>
    </row>
    <row r="122" customFormat="false" ht="12.8" hidden="false" customHeight="false" outlineLevel="0" collapsed="false">
      <c r="A122" s="0" t="s">
        <v>763</v>
      </c>
      <c r="B122" s="0" t="s">
        <v>1</v>
      </c>
      <c r="C122" s="0" t="s">
        <v>468</v>
      </c>
      <c r="D122" s="0" t="s">
        <v>469</v>
      </c>
      <c r="E122" s="0" t="n">
        <v>64.435706</v>
      </c>
      <c r="F122" s="0" t="s">
        <v>470</v>
      </c>
      <c r="G122" s="1" t="s">
        <v>5</v>
      </c>
      <c r="H122" s="0" t="n">
        <v>46.608567</v>
      </c>
      <c r="I122" s="0" t="s">
        <v>471</v>
      </c>
      <c r="J122" s="1" t="s">
        <v>5</v>
      </c>
      <c r="K122" s="0" t="n">
        <v>35.171919</v>
      </c>
      <c r="L122" s="0" t="s">
        <v>486</v>
      </c>
      <c r="M122" s="1" t="s">
        <v>5</v>
      </c>
      <c r="N122" s="0" t="n">
        <v>24.974643</v>
      </c>
      <c r="O122" s="0" t="s">
        <v>473</v>
      </c>
      <c r="P122" s="1" t="s">
        <v>5</v>
      </c>
      <c r="Q122" s="0" t="n">
        <v>20.267047</v>
      </c>
      <c r="R122" s="0" t="s">
        <v>9</v>
      </c>
      <c r="S122" s="1" t="s">
        <v>6</v>
      </c>
      <c r="T122" s="0" t="s">
        <v>10</v>
      </c>
      <c r="U122" s="0" t="s">
        <v>474</v>
      </c>
      <c r="V122" s="0" t="s">
        <v>469</v>
      </c>
      <c r="W122" s="0" t="n">
        <v>50.510054</v>
      </c>
      <c r="X122" s="0" t="s">
        <v>764</v>
      </c>
      <c r="Y122" s="1" t="s">
        <v>6</v>
      </c>
      <c r="Z122" s="0" t="n">
        <v>37.677121</v>
      </c>
      <c r="AA122" s="0" t="s">
        <v>765</v>
      </c>
      <c r="AB122" s="1" t="s">
        <v>6</v>
      </c>
      <c r="AC122" s="0" t="n">
        <v>23.797663</v>
      </c>
      <c r="AD122" s="0" t="s">
        <v>766</v>
      </c>
      <c r="AE122" s="1" t="s">
        <v>6</v>
      </c>
      <c r="AF122" s="0" t="n">
        <v>22.445445</v>
      </c>
      <c r="AG122" s="0" t="s">
        <v>767</v>
      </c>
      <c r="AH122" s="1" t="s">
        <v>6</v>
      </c>
      <c r="AI122" s="0" t="n">
        <v>7.753027</v>
      </c>
      <c r="AJ122" s="0" t="s">
        <v>15</v>
      </c>
      <c r="AK122" s="1" t="s">
        <v>6</v>
      </c>
      <c r="AL122" s="0" t="s">
        <v>468</v>
      </c>
      <c r="AM122" s="0" t="s">
        <v>474</v>
      </c>
      <c r="AN122" s="0" t="s">
        <v>469</v>
      </c>
      <c r="AO122" s="0" t="n">
        <v>36.449579</v>
      </c>
      <c r="AS122" s="2" t="str">
        <f aca="false">IF(AND(G122="true",J122="true",M122="true",P122="true",S122="true"),"true","false")</f>
        <v>false</v>
      </c>
      <c r="AT122" s="0" t="str">
        <f aca="false">IF(AND(Y122="true",AB122="true",AE122="true",AH122="true",AK122="true"),"true","false")</f>
        <v>false</v>
      </c>
    </row>
    <row r="123" customFormat="false" ht="12.8" hidden="false" customHeight="false" outlineLevel="0" collapsed="false">
      <c r="A123" s="0" t="s">
        <v>768</v>
      </c>
      <c r="B123" s="0" t="s">
        <v>1</v>
      </c>
      <c r="C123" s="0" t="s">
        <v>474</v>
      </c>
      <c r="D123" s="0" t="s">
        <v>469</v>
      </c>
      <c r="E123" s="0" t="n">
        <v>101.824544</v>
      </c>
      <c r="F123" s="0" t="s">
        <v>488</v>
      </c>
      <c r="G123" s="1" t="s">
        <v>6</v>
      </c>
      <c r="H123" s="0" t="n">
        <v>59.853233</v>
      </c>
      <c r="I123" s="0" t="s">
        <v>481</v>
      </c>
      <c r="J123" s="1" t="s">
        <v>6</v>
      </c>
      <c r="K123" s="0" t="n">
        <v>36.518131</v>
      </c>
      <c r="L123" s="0" t="s">
        <v>484</v>
      </c>
      <c r="M123" s="1" t="s">
        <v>6</v>
      </c>
      <c r="N123" s="0" t="n">
        <v>103.681545</v>
      </c>
      <c r="O123" s="0" t="s">
        <v>478</v>
      </c>
      <c r="P123" s="1" t="s">
        <v>5</v>
      </c>
      <c r="Q123" s="0" t="n">
        <v>8.107282</v>
      </c>
      <c r="R123" s="0" t="s">
        <v>51</v>
      </c>
      <c r="S123" s="1" t="s">
        <v>5</v>
      </c>
      <c r="T123" s="0" t="s">
        <v>10</v>
      </c>
      <c r="U123" s="0" t="s">
        <v>468</v>
      </c>
      <c r="V123" s="0" t="s">
        <v>469</v>
      </c>
      <c r="W123" s="0" t="n">
        <v>69.962838</v>
      </c>
      <c r="X123" s="0" t="s">
        <v>470</v>
      </c>
      <c r="Y123" s="1" t="s">
        <v>5</v>
      </c>
      <c r="Z123" s="0" t="n">
        <v>34.793935</v>
      </c>
      <c r="AA123" s="0" t="s">
        <v>485</v>
      </c>
      <c r="AB123" s="1" t="s">
        <v>6</v>
      </c>
      <c r="AC123" s="0" t="n">
        <v>43.32566</v>
      </c>
      <c r="AD123" s="0" t="s">
        <v>486</v>
      </c>
      <c r="AE123" s="1" t="s">
        <v>5</v>
      </c>
      <c r="AF123" s="0" t="n">
        <v>31.810316</v>
      </c>
      <c r="AG123" s="0" t="s">
        <v>473</v>
      </c>
      <c r="AH123" s="1" t="s">
        <v>5</v>
      </c>
      <c r="AI123" s="0" t="n">
        <v>8.470449</v>
      </c>
      <c r="AJ123" s="0" t="s">
        <v>15</v>
      </c>
      <c r="AK123" s="1" t="s">
        <v>6</v>
      </c>
      <c r="AL123" s="0" t="s">
        <v>474</v>
      </c>
      <c r="AM123" s="0" t="s">
        <v>468</v>
      </c>
      <c r="AN123" s="0" t="s">
        <v>469</v>
      </c>
      <c r="AO123" s="0" t="n">
        <v>90.33322</v>
      </c>
      <c r="AP123" s="0" t="n">
        <v>-2</v>
      </c>
      <c r="AQ123" s="0" t="n">
        <v>0</v>
      </c>
      <c r="AR123" s="0" t="s">
        <v>769</v>
      </c>
      <c r="AS123" s="2" t="str">
        <f aca="false">IF(AND(G123="true",J123="true",M123="true",P123="true",S123="true"),"true","false")</f>
        <v>false</v>
      </c>
      <c r="AT123" s="0" t="str">
        <f aca="false">IF(AND(Y123="true",AB123="true",AE123="true",AH123="true",AK123="true"),"true","false")</f>
        <v>false</v>
      </c>
    </row>
    <row r="124" customFormat="false" ht="12.8" hidden="false" customHeight="false" outlineLevel="0" collapsed="false">
      <c r="A124" s="0" t="s">
        <v>770</v>
      </c>
      <c r="B124" s="0" t="s">
        <v>1</v>
      </c>
      <c r="C124" s="0" t="s">
        <v>468</v>
      </c>
      <c r="D124" s="0" t="s">
        <v>469</v>
      </c>
      <c r="E124" s="0" t="n">
        <v>61.018911</v>
      </c>
      <c r="F124" s="0" t="s">
        <v>470</v>
      </c>
      <c r="G124" s="1" t="s">
        <v>5</v>
      </c>
      <c r="H124" s="0" t="n">
        <v>27.725922</v>
      </c>
      <c r="I124" s="0" t="s">
        <v>471</v>
      </c>
      <c r="J124" s="1" t="s">
        <v>5</v>
      </c>
      <c r="K124" s="0" t="n">
        <v>20.432071</v>
      </c>
      <c r="L124" s="0" t="s">
        <v>486</v>
      </c>
      <c r="M124" s="1" t="s">
        <v>5</v>
      </c>
      <c r="N124" s="0" t="n">
        <v>11.952531</v>
      </c>
      <c r="O124" s="0" t="s">
        <v>473</v>
      </c>
      <c r="P124" s="1" t="s">
        <v>5</v>
      </c>
      <c r="Q124" s="0" t="n">
        <v>12.167123</v>
      </c>
      <c r="R124" s="0" t="s">
        <v>15</v>
      </c>
      <c r="S124" s="1" t="s">
        <v>6</v>
      </c>
      <c r="T124" s="0" t="s">
        <v>10</v>
      </c>
      <c r="U124" s="0" t="s">
        <v>474</v>
      </c>
      <c r="V124" s="0" t="s">
        <v>469</v>
      </c>
      <c r="W124" s="0" t="n">
        <v>52.621439</v>
      </c>
      <c r="X124" s="0" t="s">
        <v>480</v>
      </c>
      <c r="Y124" s="1" t="s">
        <v>5</v>
      </c>
      <c r="Z124" s="0" t="n">
        <v>23.130013</v>
      </c>
      <c r="AA124" s="0" t="s">
        <v>476</v>
      </c>
      <c r="AB124" s="1" t="s">
        <v>5</v>
      </c>
      <c r="AC124" s="0" t="n">
        <v>21.667362</v>
      </c>
      <c r="AD124" s="0" t="s">
        <v>477</v>
      </c>
      <c r="AE124" s="1" t="s">
        <v>5</v>
      </c>
      <c r="AF124" s="0" t="n">
        <v>43.706698</v>
      </c>
      <c r="AG124" s="0" t="s">
        <v>525</v>
      </c>
      <c r="AH124" s="1" t="s">
        <v>6</v>
      </c>
      <c r="AI124" s="0" t="n">
        <v>9.082968</v>
      </c>
      <c r="AJ124" s="0" t="s">
        <v>15</v>
      </c>
      <c r="AK124" s="1" t="s">
        <v>6</v>
      </c>
      <c r="AL124" s="0" t="s">
        <v>468</v>
      </c>
      <c r="AM124" s="0" t="s">
        <v>474</v>
      </c>
      <c r="AN124" s="0" t="s">
        <v>469</v>
      </c>
      <c r="AO124" s="0" t="n">
        <v>30.900628</v>
      </c>
      <c r="AP124" s="0" t="n">
        <v>-2</v>
      </c>
      <c r="AQ124" s="0" t="n">
        <v>1</v>
      </c>
      <c r="AR124" s="0" t="s">
        <v>771</v>
      </c>
      <c r="AS124" s="2" t="str">
        <f aca="false">IF(AND(G124="true",J124="true",M124="true",P124="true",S124="true"),"true","false")</f>
        <v>false</v>
      </c>
      <c r="AT124" s="0" t="str">
        <f aca="false">IF(AND(Y124="true",AB124="true",AE124="true",AH124="true",AK124="true"),"true","false")</f>
        <v>false</v>
      </c>
    </row>
    <row r="125" customFormat="false" ht="12.8" hidden="false" customHeight="false" outlineLevel="0" collapsed="false">
      <c r="A125" s="0" t="s">
        <v>772</v>
      </c>
      <c r="B125" s="0" t="s">
        <v>1</v>
      </c>
      <c r="C125" s="0" t="s">
        <v>468</v>
      </c>
      <c r="D125" s="0" t="s">
        <v>469</v>
      </c>
      <c r="E125" s="0" t="n">
        <v>60.438852</v>
      </c>
      <c r="F125" s="0" t="s">
        <v>470</v>
      </c>
      <c r="G125" s="1" t="s">
        <v>5</v>
      </c>
      <c r="H125" s="0" t="n">
        <v>48.420619</v>
      </c>
      <c r="I125" s="0" t="s">
        <v>471</v>
      </c>
      <c r="J125" s="1" t="s">
        <v>5</v>
      </c>
      <c r="K125" s="0" t="n">
        <v>39.48106</v>
      </c>
      <c r="L125" s="0" t="s">
        <v>486</v>
      </c>
      <c r="M125" s="1" t="s">
        <v>5</v>
      </c>
      <c r="N125" s="0" t="n">
        <v>20.229347</v>
      </c>
      <c r="O125" s="0" t="s">
        <v>473</v>
      </c>
      <c r="P125" s="1" t="s">
        <v>5</v>
      </c>
      <c r="Q125" s="0" t="n">
        <v>33.408249</v>
      </c>
      <c r="R125" s="0" t="s">
        <v>9</v>
      </c>
      <c r="S125" s="1" t="s">
        <v>6</v>
      </c>
      <c r="T125" s="0" t="s">
        <v>10</v>
      </c>
      <c r="U125" s="0" t="s">
        <v>474</v>
      </c>
      <c r="V125" s="0" t="s">
        <v>469</v>
      </c>
      <c r="W125" s="0" t="n">
        <v>55.275542</v>
      </c>
      <c r="X125" s="0" t="s">
        <v>480</v>
      </c>
      <c r="Y125" s="1" t="s">
        <v>5</v>
      </c>
      <c r="Z125" s="0" t="n">
        <v>11.079262</v>
      </c>
      <c r="AA125" s="0" t="s">
        <v>501</v>
      </c>
      <c r="AB125" s="1" t="s">
        <v>6</v>
      </c>
      <c r="AC125" s="0" t="n">
        <v>22.524821</v>
      </c>
      <c r="AD125" s="0" t="s">
        <v>477</v>
      </c>
      <c r="AE125" s="1" t="s">
        <v>5</v>
      </c>
      <c r="AF125" s="0" t="n">
        <v>48.148066</v>
      </c>
      <c r="AG125" s="0" t="s">
        <v>525</v>
      </c>
      <c r="AH125" s="1" t="s">
        <v>6</v>
      </c>
      <c r="AI125" s="0" t="n">
        <v>50.249551</v>
      </c>
      <c r="AJ125" s="0" t="s">
        <v>15</v>
      </c>
      <c r="AK125" s="1" t="s">
        <v>6</v>
      </c>
      <c r="AL125" s="0" t="s">
        <v>468</v>
      </c>
      <c r="AM125" s="0" t="s">
        <v>474</v>
      </c>
      <c r="AN125" s="0" t="s">
        <v>469</v>
      </c>
      <c r="AO125" s="0" t="n">
        <v>4.912332</v>
      </c>
      <c r="AP125" s="0" t="n">
        <v>0</v>
      </c>
      <c r="AQ125" s="0" t="n">
        <v>0</v>
      </c>
      <c r="AS125" s="2" t="str">
        <f aca="false">IF(AND(G125="true",J125="true",M125="true",P125="true",S125="true"),"true","false")</f>
        <v>false</v>
      </c>
      <c r="AT125" s="0" t="str">
        <f aca="false">IF(AND(Y125="true",AB125="true",AE125="true",AH125="true",AK125="true"),"true","false")</f>
        <v>false</v>
      </c>
    </row>
    <row r="126" customFormat="false" ht="12.8" hidden="false" customHeight="false" outlineLevel="0" collapsed="false">
      <c r="A126" s="0" t="s">
        <v>773</v>
      </c>
      <c r="B126" s="0" t="s">
        <v>1</v>
      </c>
      <c r="C126" s="0" t="s">
        <v>468</v>
      </c>
      <c r="D126" s="0" t="s">
        <v>469</v>
      </c>
      <c r="E126" s="0" t="n">
        <v>67.710377</v>
      </c>
      <c r="F126" s="0" t="s">
        <v>470</v>
      </c>
      <c r="G126" s="1" t="s">
        <v>5</v>
      </c>
      <c r="H126" s="0" t="n">
        <v>36.746434</v>
      </c>
      <c r="I126" s="0" t="s">
        <v>471</v>
      </c>
      <c r="J126" s="1" t="s">
        <v>5</v>
      </c>
      <c r="K126" s="0" t="n">
        <v>40.272869</v>
      </c>
      <c r="L126" s="0" t="s">
        <v>486</v>
      </c>
      <c r="M126" s="1" t="s">
        <v>5</v>
      </c>
      <c r="N126" s="0" t="n">
        <v>23.287134</v>
      </c>
      <c r="O126" s="0" t="s">
        <v>473</v>
      </c>
      <c r="P126" s="1" t="s">
        <v>5</v>
      </c>
      <c r="Q126" s="0" t="n">
        <v>21.465877</v>
      </c>
      <c r="R126" s="0" t="s">
        <v>9</v>
      </c>
      <c r="S126" s="1" t="s">
        <v>6</v>
      </c>
      <c r="T126" s="0" t="s">
        <v>10</v>
      </c>
      <c r="U126" s="0" t="s">
        <v>474</v>
      </c>
      <c r="V126" s="0" t="s">
        <v>469</v>
      </c>
      <c r="W126" s="0" t="n">
        <v>40.875867</v>
      </c>
      <c r="X126" s="0" t="s">
        <v>480</v>
      </c>
      <c r="Y126" s="1" t="s">
        <v>5</v>
      </c>
      <c r="Z126" s="0" t="n">
        <v>21.855096</v>
      </c>
      <c r="AA126" s="0" t="s">
        <v>501</v>
      </c>
      <c r="AB126" s="1" t="s">
        <v>6</v>
      </c>
      <c r="AC126" s="0" t="n">
        <v>16.53083</v>
      </c>
      <c r="AD126" s="0" t="s">
        <v>477</v>
      </c>
      <c r="AE126" s="1" t="s">
        <v>5</v>
      </c>
      <c r="AF126" s="0" t="n">
        <v>48.259734</v>
      </c>
      <c r="AG126" s="0" t="s">
        <v>715</v>
      </c>
      <c r="AH126" s="1" t="s">
        <v>6</v>
      </c>
      <c r="AI126" s="0" t="n">
        <v>40.641872</v>
      </c>
      <c r="AJ126" s="0" t="s">
        <v>9</v>
      </c>
      <c r="AK126" s="1" t="s">
        <v>5</v>
      </c>
      <c r="AL126" s="0" t="s">
        <v>468</v>
      </c>
      <c r="AM126" s="0" t="s">
        <v>474</v>
      </c>
      <c r="AN126" s="0" t="s">
        <v>469</v>
      </c>
      <c r="AO126" s="0" t="n">
        <v>7.572768</v>
      </c>
      <c r="AP126" s="0" t="n">
        <v>-1</v>
      </c>
      <c r="AQ126" s="0" t="n">
        <v>-1</v>
      </c>
      <c r="AS126" s="2" t="str">
        <f aca="false">IF(AND(G126="true",J126="true",M126="true",P126="true",S126="true"),"true","false")</f>
        <v>false</v>
      </c>
      <c r="AT126" s="0" t="str">
        <f aca="false">IF(AND(Y126="true",AB126="true",AE126="true",AH126="true",AK126="true"),"true","false")</f>
        <v>false</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8"/>
  <sheetViews>
    <sheetView showFormulas="false" showGridLines="true" showRowColHeaders="true" showZeros="true" rightToLeft="false" tabSelected="false" showOutlineSymbols="true" defaultGridColor="true" view="normal" topLeftCell="A46" colorId="64" zoomScale="160" zoomScaleNormal="160" zoomScalePageLayoutView="100" workbookViewId="0">
      <selection pane="topLeft" activeCell="E148" activeCellId="0" sqref="E148"/>
    </sheetView>
  </sheetViews>
  <sheetFormatPr defaultColWidth="11.53515625" defaultRowHeight="12.8" customHeight="true" zeroHeight="false" outlineLevelRow="0" outlineLevelCol="0"/>
  <cols>
    <col collapsed="false" customWidth="true" hidden="false" outlineLevel="0" max="2" min="2" style="0" width="31.69"/>
    <col collapsed="false" customWidth="true" hidden="false" outlineLevel="0" max="3" min="3" style="0" width="5.12"/>
    <col collapsed="false" customWidth="true" hidden="false" outlineLevel="0" max="4" min="4" style="0" width="9.6"/>
    <col collapsed="false" customWidth="true" hidden="false" outlineLevel="0" max="5" min="5" style="0" width="13.28"/>
    <col collapsed="false" customWidth="true" hidden="false" outlineLevel="0" max="6" min="6" style="0" width="17.64"/>
    <col collapsed="false" customWidth="true" hidden="false" outlineLevel="0" max="7" min="7" style="0" width="16.21"/>
    <col collapsed="false" customWidth="true" hidden="false" outlineLevel="0" max="8" min="8" style="0" width="22.25"/>
    <col collapsed="false" customWidth="true" hidden="false" outlineLevel="0" max="17" min="17" style="0" width="31.69"/>
  </cols>
  <sheetData>
    <row r="1" customFormat="false" ht="12.8" hidden="false" customHeight="false" outlineLevel="0" collapsed="false">
      <c r="A1" s="0" t="n">
        <v>41.539297</v>
      </c>
      <c r="B1" s="0" t="s">
        <v>774</v>
      </c>
      <c r="C1" s="0" t="n">
        <f aca="false">VLOOKUP(B1,$Q$1:$R$5,2,0)</f>
        <v>1</v>
      </c>
      <c r="D1" s="0" t="n">
        <v>2</v>
      </c>
      <c r="E1" s="0" t="s">
        <v>774</v>
      </c>
      <c r="F1" s="0" t="n">
        <f aca="false">VLOOKUP(E1,$Q$1:$R$5,2,0)</f>
        <v>1</v>
      </c>
      <c r="G1" s="0" t="n">
        <v>1</v>
      </c>
      <c r="H1" s="0" t="s">
        <v>775</v>
      </c>
      <c r="I1" s="0" t="s">
        <v>76</v>
      </c>
      <c r="J1" s="0" t="s">
        <v>76</v>
      </c>
      <c r="K1" s="0" t="s">
        <v>76</v>
      </c>
      <c r="Q1" s="0" t="s">
        <v>776</v>
      </c>
      <c r="R1" s="0" t="n">
        <v>0</v>
      </c>
    </row>
    <row r="2" customFormat="false" ht="12.8" hidden="false" customHeight="false" outlineLevel="0" collapsed="false">
      <c r="A2" s="0" t="n">
        <v>85.121363</v>
      </c>
      <c r="B2" s="0" t="s">
        <v>777</v>
      </c>
      <c r="C2" s="0" t="n">
        <f aca="false">VLOOKUP(B2,$Q$1:$R$5,2,0)</f>
        <v>3</v>
      </c>
      <c r="D2" s="0" t="n">
        <v>1</v>
      </c>
      <c r="E2" s="0" t="s">
        <v>778</v>
      </c>
      <c r="F2" s="0" t="n">
        <f aca="false">VLOOKUP(E2,$Q$1:$R$5,2,0)</f>
        <v>2</v>
      </c>
      <c r="G2" s="0" t="n">
        <v>1</v>
      </c>
      <c r="H2" s="0" t="s">
        <v>779</v>
      </c>
      <c r="I2" s="0" t="s">
        <v>134</v>
      </c>
      <c r="J2" s="0" t="s">
        <v>134</v>
      </c>
      <c r="K2" s="0" t="s">
        <v>134</v>
      </c>
      <c r="Q2" s="0" t="s">
        <v>774</v>
      </c>
      <c r="R2" s="0" t="n">
        <v>1</v>
      </c>
    </row>
    <row r="3" customFormat="false" ht="12.8" hidden="false" customHeight="false" outlineLevel="0" collapsed="false">
      <c r="A3" s="0" t="n">
        <v>32.675513</v>
      </c>
      <c r="B3" s="0" t="s">
        <v>776</v>
      </c>
      <c r="C3" s="0" t="n">
        <f aca="false">VLOOKUP(B3,$Q$1:$R$5,2,0)</f>
        <v>0</v>
      </c>
      <c r="D3" s="0" t="n">
        <v>0</v>
      </c>
      <c r="E3" s="0" t="s">
        <v>776</v>
      </c>
      <c r="F3" s="0" t="n">
        <f aca="false">VLOOKUP(E3,$Q$1:$R$5,2,0)</f>
        <v>0</v>
      </c>
      <c r="G3" s="0" t="n">
        <v>0</v>
      </c>
      <c r="I3" s="0" t="s">
        <v>225</v>
      </c>
      <c r="J3" s="0" t="s">
        <v>225</v>
      </c>
      <c r="K3" s="0" t="s">
        <v>225</v>
      </c>
      <c r="Q3" s="0" t="s">
        <v>778</v>
      </c>
      <c r="R3" s="0" t="n">
        <v>2</v>
      </c>
    </row>
    <row r="4" customFormat="false" ht="12.8" hidden="false" customHeight="false" outlineLevel="0" collapsed="false">
      <c r="A4" s="0" t="n">
        <v>43.739887</v>
      </c>
      <c r="B4" s="0" t="s">
        <v>780</v>
      </c>
      <c r="C4" s="0" t="n">
        <f aca="false">VLOOKUP(B4,$Q$1:$R$5,2,0)</f>
        <v>4</v>
      </c>
      <c r="D4" s="0" t="n">
        <v>5</v>
      </c>
      <c r="E4" s="0" t="s">
        <v>774</v>
      </c>
      <c r="F4" s="0" t="n">
        <f aca="false">VLOOKUP(E4,$Q$1:$R$5,2,0)</f>
        <v>1</v>
      </c>
      <c r="G4" s="0" t="n">
        <v>1</v>
      </c>
      <c r="H4" s="0" t="s">
        <v>781</v>
      </c>
      <c r="I4" s="0" t="s">
        <v>142</v>
      </c>
      <c r="J4" s="0" t="s">
        <v>142</v>
      </c>
      <c r="K4" s="0" t="s">
        <v>142</v>
      </c>
      <c r="Q4" s="0" t="s">
        <v>777</v>
      </c>
      <c r="R4" s="0" t="n">
        <v>3</v>
      </c>
    </row>
    <row r="5" customFormat="false" ht="12.8" hidden="false" customHeight="false" outlineLevel="0" collapsed="false">
      <c r="A5" s="0" t="n">
        <v>37.376147</v>
      </c>
      <c r="B5" s="0" t="s">
        <v>774</v>
      </c>
      <c r="C5" s="0" t="n">
        <f aca="false">VLOOKUP(B5,$Q$1:$R$5,2,0)</f>
        <v>1</v>
      </c>
      <c r="D5" s="0" t="n">
        <v>2</v>
      </c>
      <c r="E5" s="0" t="s">
        <v>776</v>
      </c>
      <c r="F5" s="0" t="n">
        <f aca="false">VLOOKUP(E5,$Q$1:$R$5,2,0)</f>
        <v>0</v>
      </c>
      <c r="G5" s="0" t="n">
        <v>0</v>
      </c>
      <c r="I5" s="0" t="s">
        <v>242</v>
      </c>
      <c r="J5" s="0" t="s">
        <v>242</v>
      </c>
      <c r="K5" s="0" t="s">
        <v>242</v>
      </c>
      <c r="Q5" s="0" t="s">
        <v>780</v>
      </c>
      <c r="R5" s="0" t="n">
        <v>4</v>
      </c>
    </row>
    <row r="6" customFormat="false" ht="12.8" hidden="false" customHeight="false" outlineLevel="0" collapsed="false">
      <c r="A6" s="0" t="n">
        <v>73.358599</v>
      </c>
      <c r="B6" s="0" t="s">
        <v>774</v>
      </c>
      <c r="C6" s="0" t="n">
        <f aca="false">VLOOKUP(B6,$Q$1:$R$5,2,0)</f>
        <v>1</v>
      </c>
      <c r="D6" s="0" t="n">
        <v>1</v>
      </c>
      <c r="E6" s="0" t="s">
        <v>774</v>
      </c>
      <c r="F6" s="0" t="n">
        <f aca="false">VLOOKUP(E6,$Q$1:$R$5,2,0)</f>
        <v>1</v>
      </c>
      <c r="G6" s="0" t="n">
        <v>1</v>
      </c>
      <c r="H6" s="0" t="s">
        <v>782</v>
      </c>
      <c r="I6" s="0" t="s">
        <v>214</v>
      </c>
      <c r="J6" s="0" t="s">
        <v>214</v>
      </c>
      <c r="K6" s="0" t="s">
        <v>214</v>
      </c>
    </row>
    <row r="7" customFormat="false" ht="12.8" hidden="false" customHeight="false" outlineLevel="0" collapsed="false">
      <c r="A7" s="0" t="n">
        <v>18.943406</v>
      </c>
      <c r="B7" s="0" t="s">
        <v>776</v>
      </c>
      <c r="C7" s="0" t="n">
        <f aca="false">VLOOKUP(B7,$Q$1:$R$5,2,0)</f>
        <v>0</v>
      </c>
      <c r="D7" s="0" t="n">
        <v>0</v>
      </c>
      <c r="E7" s="0" t="s">
        <v>776</v>
      </c>
      <c r="F7" s="0" t="n">
        <f aca="false">VLOOKUP(E7,$Q$1:$R$5,2,0)</f>
        <v>0</v>
      </c>
      <c r="G7" s="0" t="n">
        <v>0.5</v>
      </c>
      <c r="H7" s="0" t="s">
        <v>781</v>
      </c>
      <c r="I7" s="0" t="s">
        <v>178</v>
      </c>
      <c r="J7" s="0" t="s">
        <v>178</v>
      </c>
      <c r="K7" s="0" t="s">
        <v>178</v>
      </c>
    </row>
    <row r="8" customFormat="false" ht="12.8" hidden="false" customHeight="false" outlineLevel="0" collapsed="false">
      <c r="A8" s="0" t="n">
        <v>49.775003</v>
      </c>
      <c r="B8" s="0" t="s">
        <v>777</v>
      </c>
      <c r="C8" s="0" t="n">
        <f aca="false">VLOOKUP(B8,$Q$1:$R$5,2,0)</f>
        <v>3</v>
      </c>
      <c r="D8" s="0" t="n">
        <v>3</v>
      </c>
      <c r="E8" s="0" t="s">
        <v>778</v>
      </c>
      <c r="F8" s="0" t="n">
        <f aca="false">VLOOKUP(E8,$Q$1:$R$5,2,0)</f>
        <v>2</v>
      </c>
      <c r="G8" s="0" t="n">
        <v>3</v>
      </c>
      <c r="H8" s="0" t="s">
        <v>775</v>
      </c>
      <c r="I8" s="0" t="s">
        <v>195</v>
      </c>
      <c r="J8" s="0" t="s">
        <v>195</v>
      </c>
      <c r="K8" s="0" t="s">
        <v>195</v>
      </c>
    </row>
    <row r="9" customFormat="false" ht="12.8" hidden="false" customHeight="false" outlineLevel="0" collapsed="false">
      <c r="A9" s="0" t="n">
        <v>60.387293</v>
      </c>
      <c r="B9" s="0" t="s">
        <v>778</v>
      </c>
      <c r="C9" s="0" t="n">
        <f aca="false">VLOOKUP(B9,$Q$1:$R$5,2,0)</f>
        <v>2</v>
      </c>
      <c r="D9" s="0" t="n">
        <v>3</v>
      </c>
      <c r="E9" s="0" t="s">
        <v>776</v>
      </c>
      <c r="F9" s="0" t="n">
        <f aca="false">VLOOKUP(E9,$Q$1:$R$5,2,0)</f>
        <v>0</v>
      </c>
      <c r="G9" s="0" t="n">
        <v>0</v>
      </c>
      <c r="H9" s="0" t="s">
        <v>779</v>
      </c>
      <c r="I9" s="0" t="s">
        <v>191</v>
      </c>
      <c r="J9" s="0" t="s">
        <v>191</v>
      </c>
      <c r="K9" s="0" t="s">
        <v>191</v>
      </c>
    </row>
    <row r="10" customFormat="false" ht="12.8" hidden="false" customHeight="false" outlineLevel="0" collapsed="false">
      <c r="A10" s="0" t="n">
        <v>48.297877</v>
      </c>
      <c r="B10" s="0" t="s">
        <v>776</v>
      </c>
      <c r="C10" s="0" t="n">
        <f aca="false">VLOOKUP(B10,$Q$1:$R$5,2,0)</f>
        <v>0</v>
      </c>
      <c r="D10" s="0" t="n">
        <v>0</v>
      </c>
      <c r="E10" s="0" t="s">
        <v>774</v>
      </c>
      <c r="F10" s="0" t="n">
        <f aca="false">VLOOKUP(E10,$Q$1:$R$5,2,0)</f>
        <v>1</v>
      </c>
      <c r="G10" s="0" t="n">
        <v>0</v>
      </c>
      <c r="H10" s="0" t="s">
        <v>783</v>
      </c>
      <c r="I10" s="0" t="s">
        <v>248</v>
      </c>
      <c r="J10" s="0" t="s">
        <v>248</v>
      </c>
      <c r="K10" s="0" t="s">
        <v>248</v>
      </c>
    </row>
    <row r="11" customFormat="false" ht="12.8" hidden="false" customHeight="false" outlineLevel="0" collapsed="false">
      <c r="A11" s="0" t="n">
        <v>81.292029</v>
      </c>
      <c r="B11" s="0" t="s">
        <v>776</v>
      </c>
      <c r="C11" s="0" t="n">
        <f aca="false">VLOOKUP(B11,$Q$1:$R$5,2,0)</f>
        <v>0</v>
      </c>
      <c r="D11" s="0" t="n">
        <v>1</v>
      </c>
      <c r="E11" s="0" t="s">
        <v>774</v>
      </c>
      <c r="F11" s="0" t="n">
        <f aca="false">VLOOKUP(E11,$Q$1:$R$5,2,0)</f>
        <v>1</v>
      </c>
      <c r="G11" s="0" t="n">
        <v>1</v>
      </c>
      <c r="H11" s="0" t="s">
        <v>784</v>
      </c>
      <c r="I11" s="0" t="s">
        <v>164</v>
      </c>
      <c r="J11" s="0" t="s">
        <v>164</v>
      </c>
      <c r="K11" s="0" t="s">
        <v>164</v>
      </c>
    </row>
    <row r="12" customFormat="false" ht="12.8" hidden="false" customHeight="false" outlineLevel="0" collapsed="false">
      <c r="A12" s="0" t="n">
        <v>61.689477</v>
      </c>
      <c r="B12" s="0" t="s">
        <v>777</v>
      </c>
      <c r="C12" s="0" t="n">
        <f aca="false">VLOOKUP(B12,$Q$1:$R$5,2,0)</f>
        <v>3</v>
      </c>
      <c r="D12" s="0" t="n">
        <v>5</v>
      </c>
      <c r="E12" s="0" t="s">
        <v>777</v>
      </c>
      <c r="F12" s="0" t="n">
        <f aca="false">VLOOKUP(E12,$Q$1:$R$5,2,0)</f>
        <v>3</v>
      </c>
      <c r="G12" s="0" t="n">
        <v>1</v>
      </c>
      <c r="H12" s="0" t="s">
        <v>785</v>
      </c>
      <c r="I12" s="0" t="s">
        <v>94</v>
      </c>
      <c r="J12" s="0" t="s">
        <v>94</v>
      </c>
      <c r="K12" s="0" t="s">
        <v>94</v>
      </c>
    </row>
    <row r="13" customFormat="false" ht="12.8" hidden="false" customHeight="false" outlineLevel="0" collapsed="false">
      <c r="A13" s="0" t="n">
        <v>67.462911</v>
      </c>
      <c r="B13" s="0" t="s">
        <v>778</v>
      </c>
      <c r="C13" s="0" t="n">
        <f aca="false">VLOOKUP(B13,$Q$1:$R$5,2,0)</f>
        <v>2</v>
      </c>
      <c r="D13" s="0" t="n">
        <v>0</v>
      </c>
      <c r="E13" s="0" t="s">
        <v>778</v>
      </c>
      <c r="F13" s="0" t="n">
        <f aca="false">VLOOKUP(E13,$Q$1:$R$5,2,0)</f>
        <v>2</v>
      </c>
      <c r="G13" s="0" t="n">
        <v>0</v>
      </c>
      <c r="H13" s="0" t="s">
        <v>786</v>
      </c>
      <c r="I13" s="0" t="s">
        <v>146</v>
      </c>
      <c r="J13" s="0" t="s">
        <v>146</v>
      </c>
      <c r="K13" s="0" t="s">
        <v>146</v>
      </c>
    </row>
    <row r="14" customFormat="false" ht="12.8" hidden="false" customHeight="false" outlineLevel="0" collapsed="false">
      <c r="A14" s="0" t="n">
        <v>131.68142</v>
      </c>
      <c r="B14" s="0" t="s">
        <v>774</v>
      </c>
      <c r="C14" s="0" t="n">
        <f aca="false">VLOOKUP(B14,$Q$1:$R$5,2,0)</f>
        <v>1</v>
      </c>
      <c r="D14" s="0" t="n">
        <v>0</v>
      </c>
      <c r="E14" s="0" t="s">
        <v>778</v>
      </c>
      <c r="F14" s="0" t="n">
        <f aca="false">VLOOKUP(E14,$Q$1:$R$5,2,0)</f>
        <v>2</v>
      </c>
      <c r="G14" s="0" t="n">
        <v>1</v>
      </c>
      <c r="H14" s="0" t="s">
        <v>781</v>
      </c>
      <c r="I14" s="0" t="s">
        <v>175</v>
      </c>
      <c r="J14" s="0" t="s">
        <v>175</v>
      </c>
      <c r="K14" s="0" t="s">
        <v>175</v>
      </c>
    </row>
    <row r="15" customFormat="false" ht="12.8" hidden="false" customHeight="false" outlineLevel="0" collapsed="false">
      <c r="A15" s="0" t="n">
        <v>74.545133</v>
      </c>
      <c r="B15" s="0" t="s">
        <v>774</v>
      </c>
      <c r="C15" s="0" t="n">
        <f aca="false">VLOOKUP(B15,$Q$1:$R$5,2,0)</f>
        <v>1</v>
      </c>
      <c r="D15" s="0" t="n">
        <v>0</v>
      </c>
      <c r="E15" s="0" t="s">
        <v>774</v>
      </c>
      <c r="F15" s="0" t="n">
        <f aca="false">VLOOKUP(E15,$Q$1:$R$5,2,0)</f>
        <v>1</v>
      </c>
      <c r="G15" s="0" t="n">
        <v>1.5</v>
      </c>
      <c r="H15" s="0" t="s">
        <v>775</v>
      </c>
      <c r="I15" s="0" t="s">
        <v>249</v>
      </c>
      <c r="J15" s="0" t="s">
        <v>249</v>
      </c>
      <c r="K15" s="0" t="s">
        <v>249</v>
      </c>
    </row>
    <row r="16" customFormat="false" ht="12.8" hidden="false" customHeight="false" outlineLevel="0" collapsed="false">
      <c r="A16" s="0" t="n">
        <v>56.473591</v>
      </c>
      <c r="B16" s="0" t="s">
        <v>778</v>
      </c>
      <c r="C16" s="0" t="n">
        <f aca="false">VLOOKUP(B16,$Q$1:$R$5,2,0)</f>
        <v>2</v>
      </c>
      <c r="D16" s="0" t="n">
        <v>5</v>
      </c>
      <c r="E16" s="0" t="s">
        <v>774</v>
      </c>
      <c r="F16" s="0" t="n">
        <f aca="false">VLOOKUP(E16,$Q$1:$R$5,2,0)</f>
        <v>1</v>
      </c>
      <c r="G16" s="0" t="n">
        <v>1</v>
      </c>
      <c r="H16" s="0" t="s">
        <v>779</v>
      </c>
      <c r="I16" s="0" t="s">
        <v>103</v>
      </c>
      <c r="J16" s="0" t="s">
        <v>103</v>
      </c>
      <c r="K16" s="0" t="s">
        <v>103</v>
      </c>
    </row>
    <row r="17" customFormat="false" ht="12.8" hidden="false" customHeight="false" outlineLevel="0" collapsed="false">
      <c r="A17" s="0" t="n">
        <v>21.902222</v>
      </c>
      <c r="B17" s="0" t="s">
        <v>777</v>
      </c>
      <c r="C17" s="0" t="n">
        <f aca="false">VLOOKUP(B17,$Q$1:$R$5,2,0)</f>
        <v>3</v>
      </c>
      <c r="D17" s="0" t="n">
        <v>3</v>
      </c>
      <c r="E17" s="0" t="s">
        <v>778</v>
      </c>
      <c r="F17" s="0" t="n">
        <f aca="false">VLOOKUP(E17,$Q$1:$R$5,2,0)</f>
        <v>2</v>
      </c>
      <c r="G17" s="0" t="n">
        <v>3</v>
      </c>
      <c r="H17" s="0" t="s">
        <v>787</v>
      </c>
      <c r="I17" s="0" t="s">
        <v>125</v>
      </c>
      <c r="J17" s="0" t="s">
        <v>125</v>
      </c>
      <c r="K17" s="0" t="s">
        <v>125</v>
      </c>
    </row>
    <row r="18" customFormat="false" ht="12.8" hidden="false" customHeight="false" outlineLevel="0" collapsed="false">
      <c r="A18" s="0" t="n">
        <v>46.067679</v>
      </c>
      <c r="B18" s="0" t="s">
        <v>777</v>
      </c>
      <c r="C18" s="0" t="n">
        <f aca="false">VLOOKUP(B18,$Q$1:$R$5,2,0)</f>
        <v>3</v>
      </c>
      <c r="D18" s="0" t="n">
        <v>0.5</v>
      </c>
      <c r="E18" s="0" t="s">
        <v>776</v>
      </c>
      <c r="F18" s="0" t="n">
        <f aca="false">VLOOKUP(E18,$Q$1:$R$5,2,0)</f>
        <v>0</v>
      </c>
      <c r="G18" s="0" t="n">
        <v>0</v>
      </c>
      <c r="I18" s="0" t="s">
        <v>176</v>
      </c>
      <c r="J18" s="0" t="s">
        <v>176</v>
      </c>
      <c r="K18" s="0" t="s">
        <v>176</v>
      </c>
    </row>
    <row r="19" customFormat="false" ht="12.8" hidden="false" customHeight="false" outlineLevel="0" collapsed="false">
      <c r="A19" s="0" t="n">
        <v>44.555897</v>
      </c>
      <c r="B19" s="0" t="s">
        <v>774</v>
      </c>
      <c r="C19" s="0" t="n">
        <f aca="false">VLOOKUP(B19,$Q$1:$R$5,2,0)</f>
        <v>1</v>
      </c>
      <c r="D19" s="0" t="n">
        <v>0</v>
      </c>
      <c r="E19" s="0" t="s">
        <v>774</v>
      </c>
      <c r="F19" s="0" t="n">
        <f aca="false">VLOOKUP(E19,$Q$1:$R$5,2,0)</f>
        <v>1</v>
      </c>
      <c r="G19" s="0" t="n">
        <v>0</v>
      </c>
      <c r="H19" s="0" t="s">
        <v>788</v>
      </c>
      <c r="I19" s="0" t="s">
        <v>789</v>
      </c>
      <c r="J19" s="0" t="s">
        <v>789</v>
      </c>
      <c r="K19" s="0" t="s">
        <v>789</v>
      </c>
    </row>
    <row r="20" customFormat="false" ht="12.8" hidden="false" customHeight="false" outlineLevel="0" collapsed="false">
      <c r="A20" s="0" t="n">
        <v>43.860037</v>
      </c>
      <c r="B20" s="0" t="s">
        <v>774</v>
      </c>
      <c r="C20" s="0" t="n">
        <f aca="false">VLOOKUP(B20,$Q$1:$R$5,2,0)</f>
        <v>1</v>
      </c>
      <c r="D20" s="0" t="n">
        <v>1</v>
      </c>
      <c r="E20" s="0" t="s">
        <v>774</v>
      </c>
      <c r="F20" s="0" t="n">
        <f aca="false">VLOOKUP(E20,$Q$1:$R$5,2,0)</f>
        <v>1</v>
      </c>
      <c r="G20" s="0" t="n">
        <v>1</v>
      </c>
      <c r="H20" s="0" t="s">
        <v>781</v>
      </c>
      <c r="I20" s="0" t="s">
        <v>157</v>
      </c>
      <c r="J20" s="0" t="s">
        <v>157</v>
      </c>
      <c r="K20" s="0" t="s">
        <v>157</v>
      </c>
    </row>
    <row r="21" customFormat="false" ht="12.8" hidden="false" customHeight="false" outlineLevel="0" collapsed="false">
      <c r="A21" s="0" t="n">
        <v>76.144476</v>
      </c>
      <c r="B21" s="0" t="s">
        <v>774</v>
      </c>
      <c r="C21" s="0" t="n">
        <f aca="false">VLOOKUP(B21,$Q$1:$R$5,2,0)</f>
        <v>1</v>
      </c>
      <c r="D21" s="0" t="n">
        <v>0</v>
      </c>
      <c r="E21" s="0" t="s">
        <v>774</v>
      </c>
      <c r="F21" s="0" t="n">
        <f aca="false">VLOOKUP(E21,$Q$1:$R$5,2,0)</f>
        <v>1</v>
      </c>
      <c r="G21" s="0" t="n">
        <v>2</v>
      </c>
      <c r="H21" s="0" t="s">
        <v>781</v>
      </c>
      <c r="I21" s="0" t="s">
        <v>41</v>
      </c>
      <c r="J21" s="0" t="s">
        <v>41</v>
      </c>
      <c r="K21" s="0" t="s">
        <v>41</v>
      </c>
    </row>
    <row r="22" customFormat="false" ht="12.8" hidden="false" customHeight="false" outlineLevel="0" collapsed="false">
      <c r="A22" s="0" t="n">
        <v>40.659926</v>
      </c>
      <c r="B22" s="0" t="s">
        <v>774</v>
      </c>
      <c r="C22" s="0" t="n">
        <f aca="false">VLOOKUP(B22,$Q$1:$R$5,2,0)</f>
        <v>1</v>
      </c>
      <c r="D22" s="0" t="n">
        <v>1</v>
      </c>
      <c r="E22" s="0" t="s">
        <v>776</v>
      </c>
      <c r="F22" s="0" t="n">
        <f aca="false">VLOOKUP(E22,$Q$1:$R$5,2,0)</f>
        <v>0</v>
      </c>
      <c r="G22" s="0" t="n">
        <v>0</v>
      </c>
      <c r="H22" s="0" t="s">
        <v>779</v>
      </c>
      <c r="I22" s="0" t="s">
        <v>220</v>
      </c>
      <c r="J22" s="0" t="s">
        <v>220</v>
      </c>
      <c r="K22" s="0" t="s">
        <v>220</v>
      </c>
    </row>
    <row r="23" customFormat="false" ht="12.8" hidden="false" customHeight="false" outlineLevel="0" collapsed="false">
      <c r="A23" s="0" t="n">
        <v>45.795165</v>
      </c>
      <c r="B23" s="0" t="s">
        <v>778</v>
      </c>
      <c r="C23" s="0" t="n">
        <f aca="false">VLOOKUP(B23,$Q$1:$R$5,2,0)</f>
        <v>2</v>
      </c>
      <c r="D23" s="0" t="n">
        <v>2</v>
      </c>
      <c r="E23" s="0" t="s">
        <v>774</v>
      </c>
      <c r="F23" s="0" t="n">
        <f aca="false">VLOOKUP(E23,$Q$1:$R$5,2,0)</f>
        <v>1</v>
      </c>
      <c r="G23" s="0" t="n">
        <v>2</v>
      </c>
      <c r="H23" s="0" t="s">
        <v>790</v>
      </c>
      <c r="I23" s="0" t="s">
        <v>116</v>
      </c>
      <c r="J23" s="0" t="s">
        <v>116</v>
      </c>
      <c r="K23" s="0" t="s">
        <v>116</v>
      </c>
    </row>
    <row r="24" customFormat="false" ht="12.8" hidden="false" customHeight="false" outlineLevel="0" collapsed="false">
      <c r="A24" s="0" t="n">
        <v>43.721863</v>
      </c>
      <c r="B24" s="0" t="s">
        <v>776</v>
      </c>
      <c r="C24" s="0" t="n">
        <f aca="false">VLOOKUP(B24,$Q$1:$R$5,2,0)</f>
        <v>0</v>
      </c>
      <c r="D24" s="0" t="n">
        <v>0</v>
      </c>
      <c r="E24" s="0" t="s">
        <v>776</v>
      </c>
      <c r="F24" s="0" t="n">
        <f aca="false">VLOOKUP(E24,$Q$1:$R$5,2,0)</f>
        <v>0</v>
      </c>
      <c r="G24" s="0" t="n">
        <v>0</v>
      </c>
      <c r="I24" s="0" t="s">
        <v>219</v>
      </c>
      <c r="J24" s="0" t="s">
        <v>219</v>
      </c>
      <c r="K24" s="0" t="s">
        <v>219</v>
      </c>
    </row>
    <row r="25" customFormat="false" ht="12.8" hidden="false" customHeight="false" outlineLevel="0" collapsed="false">
      <c r="A25" s="0" t="n">
        <v>182.779493</v>
      </c>
      <c r="B25" s="0" t="s">
        <v>778</v>
      </c>
      <c r="C25" s="0" t="n">
        <f aca="false">VLOOKUP(B25,$Q$1:$R$5,2,0)</f>
        <v>2</v>
      </c>
      <c r="D25" s="0" t="n">
        <v>2</v>
      </c>
      <c r="E25" s="0" t="s">
        <v>778</v>
      </c>
      <c r="F25" s="0" t="n">
        <f aca="false">VLOOKUP(E25,$Q$1:$R$5,2,0)</f>
        <v>2</v>
      </c>
      <c r="G25" s="0" t="n">
        <v>1</v>
      </c>
      <c r="H25" s="0" t="s">
        <v>791</v>
      </c>
      <c r="I25" s="0" t="s">
        <v>77</v>
      </c>
      <c r="J25" s="0" t="s">
        <v>77</v>
      </c>
      <c r="K25" s="0" t="s">
        <v>77</v>
      </c>
    </row>
    <row r="26" customFormat="false" ht="12.8" hidden="false" customHeight="false" outlineLevel="0" collapsed="false">
      <c r="A26" s="0" t="n">
        <v>78.637195</v>
      </c>
      <c r="B26" s="0" t="s">
        <v>774</v>
      </c>
      <c r="C26" s="0" t="n">
        <f aca="false">VLOOKUP(B26,$Q$1:$R$5,2,0)</f>
        <v>1</v>
      </c>
      <c r="D26" s="0" t="n">
        <v>5</v>
      </c>
      <c r="E26" s="0" t="s">
        <v>774</v>
      </c>
      <c r="F26" s="0" t="n">
        <f aca="false">VLOOKUP(E26,$Q$1:$R$5,2,0)</f>
        <v>1</v>
      </c>
      <c r="G26" s="0" t="n">
        <v>2</v>
      </c>
      <c r="I26" s="0" t="s">
        <v>171</v>
      </c>
      <c r="J26" s="0" t="s">
        <v>171</v>
      </c>
      <c r="K26" s="0" t="s">
        <v>171</v>
      </c>
    </row>
    <row r="27" customFormat="false" ht="12.8" hidden="false" customHeight="false" outlineLevel="0" collapsed="false">
      <c r="A27" s="0" t="n">
        <v>87.343525</v>
      </c>
      <c r="B27" s="0" t="s">
        <v>777</v>
      </c>
      <c r="C27" s="0" t="n">
        <f aca="false">VLOOKUP(B27,$Q$1:$R$5,2,0)</f>
        <v>3</v>
      </c>
      <c r="D27" s="0" t="n">
        <v>1.5</v>
      </c>
      <c r="E27" s="0" t="s">
        <v>778</v>
      </c>
      <c r="F27" s="0" t="n">
        <f aca="false">VLOOKUP(E27,$Q$1:$R$5,2,0)</f>
        <v>2</v>
      </c>
      <c r="G27" s="0" t="n">
        <v>1</v>
      </c>
      <c r="H27" s="0" t="s">
        <v>792</v>
      </c>
      <c r="I27" s="0" t="s">
        <v>163</v>
      </c>
      <c r="J27" s="0" t="s">
        <v>163</v>
      </c>
      <c r="K27" s="0" t="s">
        <v>163</v>
      </c>
    </row>
    <row r="28" customFormat="false" ht="12.8" hidden="false" customHeight="false" outlineLevel="0" collapsed="false">
      <c r="A28" s="0" t="n">
        <v>50.183934</v>
      </c>
      <c r="B28" s="0" t="s">
        <v>774</v>
      </c>
      <c r="C28" s="0" t="n">
        <f aca="false">VLOOKUP(B28,$Q$1:$R$5,2,0)</f>
        <v>1</v>
      </c>
      <c r="D28" s="0" t="n">
        <v>0</v>
      </c>
      <c r="E28" s="0" t="s">
        <v>777</v>
      </c>
      <c r="F28" s="0" t="n">
        <f aca="false">VLOOKUP(E28,$Q$1:$R$5,2,0)</f>
        <v>3</v>
      </c>
      <c r="G28" s="0" t="n">
        <v>1</v>
      </c>
      <c r="H28" s="0" t="s">
        <v>793</v>
      </c>
      <c r="I28" s="0" t="s">
        <v>198</v>
      </c>
      <c r="J28" s="0" t="s">
        <v>198</v>
      </c>
      <c r="K28" s="0" t="s">
        <v>198</v>
      </c>
    </row>
    <row r="29" customFormat="false" ht="12.8" hidden="false" customHeight="false" outlineLevel="0" collapsed="false">
      <c r="A29" s="0" t="n">
        <v>76.929482</v>
      </c>
      <c r="B29" s="0" t="s">
        <v>777</v>
      </c>
      <c r="C29" s="0" t="n">
        <f aca="false">VLOOKUP(B29,$Q$1:$R$5,2,0)</f>
        <v>3</v>
      </c>
      <c r="D29" s="0" t="n">
        <v>1</v>
      </c>
      <c r="E29" s="0" t="s">
        <v>776</v>
      </c>
      <c r="F29" s="0" t="n">
        <f aca="false">VLOOKUP(E29,$Q$1:$R$5,2,0)</f>
        <v>0</v>
      </c>
      <c r="G29" s="0" t="n">
        <v>0</v>
      </c>
      <c r="H29" s="0" t="n">
        <v>0</v>
      </c>
      <c r="I29" s="0" t="s">
        <v>155</v>
      </c>
      <c r="J29" s="0" t="s">
        <v>155</v>
      </c>
      <c r="K29" s="0" t="s">
        <v>155</v>
      </c>
    </row>
    <row r="30" customFormat="false" ht="12.8" hidden="false" customHeight="false" outlineLevel="0" collapsed="false">
      <c r="A30" s="0" t="n">
        <v>55.974587</v>
      </c>
      <c r="B30" s="0" t="s">
        <v>780</v>
      </c>
      <c r="C30" s="0" t="n">
        <f aca="false">VLOOKUP(B30,$Q$1:$R$5,2,0)</f>
        <v>4</v>
      </c>
      <c r="D30" s="0" t="n">
        <v>4</v>
      </c>
      <c r="E30" s="0" t="s">
        <v>776</v>
      </c>
      <c r="F30" s="0" t="n">
        <f aca="false">VLOOKUP(E30,$Q$1:$R$5,2,0)</f>
        <v>0</v>
      </c>
      <c r="G30" s="0" t="n">
        <v>0</v>
      </c>
      <c r="H30" s="0" t="n">
        <v>1</v>
      </c>
      <c r="I30" s="0" t="s">
        <v>172</v>
      </c>
      <c r="J30" s="0" t="s">
        <v>172</v>
      </c>
      <c r="K30" s="0" t="s">
        <v>172</v>
      </c>
    </row>
    <row r="31" customFormat="false" ht="12.8" hidden="false" customHeight="false" outlineLevel="0" collapsed="false">
      <c r="A31" s="0" t="n">
        <v>23.981361</v>
      </c>
      <c r="B31" s="0" t="s">
        <v>778</v>
      </c>
      <c r="C31" s="0" t="n">
        <f aca="false">VLOOKUP(B31,$Q$1:$R$5,2,0)</f>
        <v>2</v>
      </c>
      <c r="D31" s="0" t="n">
        <v>5</v>
      </c>
      <c r="E31" s="0" t="s">
        <v>774</v>
      </c>
      <c r="F31" s="0" t="n">
        <f aca="false">VLOOKUP(E31,$Q$1:$R$5,2,0)</f>
        <v>1</v>
      </c>
      <c r="G31" s="0" t="n">
        <v>1</v>
      </c>
      <c r="H31" s="0" t="s">
        <v>775</v>
      </c>
      <c r="I31" s="0" t="s">
        <v>45</v>
      </c>
      <c r="J31" s="0" t="s">
        <v>45</v>
      </c>
      <c r="K31" s="0" t="s">
        <v>45</v>
      </c>
    </row>
    <row r="32" customFormat="false" ht="12.8" hidden="false" customHeight="false" outlineLevel="0" collapsed="false">
      <c r="A32" s="0" t="n">
        <v>76.423514</v>
      </c>
      <c r="B32" s="0" t="s">
        <v>778</v>
      </c>
      <c r="C32" s="0" t="n">
        <f aca="false">VLOOKUP(B32,$Q$1:$R$5,2,0)</f>
        <v>2</v>
      </c>
      <c r="D32" s="0" t="n">
        <v>2</v>
      </c>
      <c r="E32" s="0" t="s">
        <v>778</v>
      </c>
      <c r="F32" s="0" t="n">
        <f aca="false">VLOOKUP(E32,$Q$1:$R$5,2,0)</f>
        <v>2</v>
      </c>
      <c r="G32" s="0" t="n">
        <v>1</v>
      </c>
      <c r="H32" s="0" t="s">
        <v>781</v>
      </c>
      <c r="I32" s="0" t="s">
        <v>206</v>
      </c>
      <c r="J32" s="0" t="s">
        <v>206</v>
      </c>
      <c r="K32" s="0" t="s">
        <v>206</v>
      </c>
    </row>
    <row r="33" customFormat="false" ht="12.8" hidden="false" customHeight="false" outlineLevel="0" collapsed="false">
      <c r="A33" s="0" t="n">
        <v>22.593778</v>
      </c>
      <c r="B33" s="0" t="s">
        <v>778</v>
      </c>
      <c r="C33" s="0" t="n">
        <f aca="false">VLOOKUP(B33,$Q$1:$R$5,2,0)</f>
        <v>2</v>
      </c>
      <c r="D33" s="0" t="n">
        <v>0</v>
      </c>
      <c r="E33" s="0" t="s">
        <v>776</v>
      </c>
      <c r="F33" s="0" t="n">
        <f aca="false">VLOOKUP(E33,$Q$1:$R$5,2,0)</f>
        <v>0</v>
      </c>
      <c r="G33" s="0" t="n">
        <v>0</v>
      </c>
      <c r="H33" s="0" t="s">
        <v>794</v>
      </c>
      <c r="I33" s="0" t="s">
        <v>177</v>
      </c>
      <c r="J33" s="0" t="s">
        <v>177</v>
      </c>
      <c r="K33" s="0" t="s">
        <v>177</v>
      </c>
    </row>
    <row r="34" customFormat="false" ht="12.8" hidden="false" customHeight="false" outlineLevel="0" collapsed="false">
      <c r="A34" s="0" t="n">
        <v>28.812669</v>
      </c>
      <c r="B34" s="0" t="s">
        <v>780</v>
      </c>
      <c r="C34" s="0" t="n">
        <f aca="false">VLOOKUP(B34,$Q$1:$R$5,2,0)</f>
        <v>4</v>
      </c>
      <c r="D34" s="0" t="n">
        <v>25</v>
      </c>
      <c r="E34" s="0" t="s">
        <v>780</v>
      </c>
      <c r="F34" s="0" t="n">
        <f aca="false">VLOOKUP(E34,$Q$1:$R$5,2,0)</f>
        <v>4</v>
      </c>
      <c r="G34" s="0" t="n">
        <v>25</v>
      </c>
      <c r="H34" s="0" t="s">
        <v>795</v>
      </c>
      <c r="I34" s="0" t="s">
        <v>50</v>
      </c>
      <c r="J34" s="0" t="s">
        <v>50</v>
      </c>
      <c r="K34" s="0" t="s">
        <v>50</v>
      </c>
    </row>
    <row r="35" customFormat="false" ht="12.8" hidden="false" customHeight="false" outlineLevel="0" collapsed="false">
      <c r="A35" s="0" t="n">
        <v>62.485329</v>
      </c>
      <c r="B35" s="0" t="s">
        <v>778</v>
      </c>
      <c r="C35" s="0" t="n">
        <f aca="false">VLOOKUP(B35,$Q$1:$R$5,2,0)</f>
        <v>2</v>
      </c>
      <c r="D35" s="0" t="n">
        <v>5</v>
      </c>
      <c r="E35" s="0" t="s">
        <v>778</v>
      </c>
      <c r="F35" s="0" t="n">
        <f aca="false">VLOOKUP(E35,$Q$1:$R$5,2,0)</f>
        <v>2</v>
      </c>
      <c r="G35" s="0" t="n">
        <v>5</v>
      </c>
      <c r="H35" s="0" t="s">
        <v>779</v>
      </c>
      <c r="I35" s="0" t="s">
        <v>139</v>
      </c>
      <c r="J35" s="0" t="s">
        <v>139</v>
      </c>
      <c r="K35" s="0" t="s">
        <v>139</v>
      </c>
    </row>
    <row r="36" customFormat="false" ht="12.8" hidden="false" customHeight="false" outlineLevel="0" collapsed="false">
      <c r="A36" s="0" t="n">
        <v>44.895121</v>
      </c>
      <c r="B36" s="0" t="s">
        <v>776</v>
      </c>
      <c r="C36" s="0" t="n">
        <f aca="false">VLOOKUP(B36,$Q$1:$R$5,2,0)</f>
        <v>0</v>
      </c>
      <c r="D36" s="0" t="n">
        <v>0</v>
      </c>
      <c r="E36" s="0" t="s">
        <v>774</v>
      </c>
      <c r="F36" s="0" t="n">
        <f aca="false">VLOOKUP(E36,$Q$1:$R$5,2,0)</f>
        <v>1</v>
      </c>
      <c r="G36" s="0" t="n">
        <v>1</v>
      </c>
      <c r="H36" s="0" t="s">
        <v>781</v>
      </c>
      <c r="I36" s="0" t="s">
        <v>202</v>
      </c>
      <c r="J36" s="0" t="s">
        <v>202</v>
      </c>
      <c r="K36" s="0" t="s">
        <v>202</v>
      </c>
    </row>
    <row r="37" customFormat="false" ht="12.8" hidden="false" customHeight="false" outlineLevel="0" collapsed="false">
      <c r="A37" s="0" t="n">
        <v>40.346167</v>
      </c>
      <c r="B37" s="0" t="s">
        <v>778</v>
      </c>
      <c r="C37" s="0" t="n">
        <f aca="false">VLOOKUP(B37,$Q$1:$R$5,2,0)</f>
        <v>2</v>
      </c>
      <c r="D37" s="0" t="n">
        <v>0</v>
      </c>
      <c r="E37" s="0" t="s">
        <v>778</v>
      </c>
      <c r="F37" s="0" t="n">
        <f aca="false">VLOOKUP(E37,$Q$1:$R$5,2,0)</f>
        <v>2</v>
      </c>
      <c r="G37" s="0" t="n">
        <v>1</v>
      </c>
      <c r="H37" s="0" t="s">
        <v>796</v>
      </c>
      <c r="I37" s="0" t="s">
        <v>243</v>
      </c>
      <c r="J37" s="0" t="s">
        <v>243</v>
      </c>
      <c r="K37" s="0" t="s">
        <v>243</v>
      </c>
    </row>
    <row r="38" customFormat="false" ht="12.8" hidden="false" customHeight="false" outlineLevel="0" collapsed="false">
      <c r="A38" s="0" t="n">
        <v>142.754129</v>
      </c>
      <c r="B38" s="0" t="s">
        <v>780</v>
      </c>
      <c r="C38" s="0" t="n">
        <f aca="false">VLOOKUP(B38,$Q$1:$R$5,2,0)</f>
        <v>4</v>
      </c>
      <c r="D38" s="0" t="n">
        <v>3</v>
      </c>
      <c r="E38" s="0" t="s">
        <v>780</v>
      </c>
      <c r="F38" s="0" t="n">
        <f aca="false">VLOOKUP(E38,$Q$1:$R$5,2,0)</f>
        <v>4</v>
      </c>
      <c r="G38" s="0" t="n">
        <v>1</v>
      </c>
      <c r="H38" s="0" t="s">
        <v>797</v>
      </c>
      <c r="I38" s="0" t="s">
        <v>199</v>
      </c>
      <c r="J38" s="0" t="s">
        <v>199</v>
      </c>
      <c r="K38" s="0" t="s">
        <v>199</v>
      </c>
    </row>
    <row r="39" customFormat="false" ht="12.8" hidden="false" customHeight="false" outlineLevel="0" collapsed="false">
      <c r="A39" s="0" t="n">
        <v>59.148684</v>
      </c>
      <c r="B39" s="0" t="s">
        <v>776</v>
      </c>
      <c r="C39" s="0" t="n">
        <f aca="false">VLOOKUP(B39,$Q$1:$R$5,2,0)</f>
        <v>0</v>
      </c>
      <c r="D39" s="0" t="n">
        <v>0</v>
      </c>
      <c r="E39" s="0" t="s">
        <v>776</v>
      </c>
      <c r="F39" s="0" t="n">
        <f aca="false">VLOOKUP(E39,$Q$1:$R$5,2,0)</f>
        <v>0</v>
      </c>
      <c r="G39" s="0" t="n">
        <v>0</v>
      </c>
      <c r="H39" s="0" t="s">
        <v>9</v>
      </c>
      <c r="I39" s="0" t="s">
        <v>23</v>
      </c>
      <c r="J39" s="0" t="s">
        <v>23</v>
      </c>
      <c r="K39" s="0" t="s">
        <v>23</v>
      </c>
    </row>
    <row r="40" customFormat="false" ht="12.8" hidden="false" customHeight="false" outlineLevel="0" collapsed="false">
      <c r="A40" s="0" t="n">
        <v>26.934902</v>
      </c>
      <c r="B40" s="0" t="s">
        <v>774</v>
      </c>
      <c r="C40" s="0" t="n">
        <f aca="false">VLOOKUP(B40,$Q$1:$R$5,2,0)</f>
        <v>1</v>
      </c>
      <c r="D40" s="0" t="n">
        <v>3</v>
      </c>
      <c r="E40" s="0" t="s">
        <v>776</v>
      </c>
      <c r="F40" s="0" t="n">
        <f aca="false">VLOOKUP(E40,$Q$1:$R$5,2,0)</f>
        <v>0</v>
      </c>
      <c r="G40" s="0" t="n">
        <v>0</v>
      </c>
      <c r="H40" s="0" t="s">
        <v>788</v>
      </c>
      <c r="I40" s="0" t="s">
        <v>187</v>
      </c>
      <c r="J40" s="0" t="s">
        <v>187</v>
      </c>
      <c r="K40" s="0" t="s">
        <v>187</v>
      </c>
    </row>
    <row r="41" customFormat="false" ht="12.8" hidden="false" customHeight="false" outlineLevel="0" collapsed="false">
      <c r="A41" s="0" t="n">
        <v>38.161319</v>
      </c>
      <c r="B41" s="0" t="s">
        <v>778</v>
      </c>
      <c r="C41" s="0" t="n">
        <f aca="false">VLOOKUP(B41,$Q$1:$R$5,2,0)</f>
        <v>2</v>
      </c>
      <c r="D41" s="0" t="n">
        <v>5</v>
      </c>
      <c r="E41" s="0" t="s">
        <v>778</v>
      </c>
      <c r="F41" s="0" t="n">
        <f aca="false">VLOOKUP(E41,$Q$1:$R$5,2,0)</f>
        <v>2</v>
      </c>
      <c r="G41" s="0" t="n">
        <v>1</v>
      </c>
      <c r="H41" s="0" t="s">
        <v>775</v>
      </c>
      <c r="I41" s="0" t="s">
        <v>173</v>
      </c>
      <c r="J41" s="0" t="s">
        <v>173</v>
      </c>
      <c r="K41" s="0" t="s">
        <v>173</v>
      </c>
    </row>
    <row r="42" customFormat="false" ht="12.8" hidden="false" customHeight="false" outlineLevel="0" collapsed="false">
      <c r="A42" s="0" t="n">
        <v>36.821946</v>
      </c>
      <c r="B42" s="0" t="s">
        <v>776</v>
      </c>
      <c r="C42" s="0" t="n">
        <f aca="false">VLOOKUP(B42,$Q$1:$R$5,2,0)</f>
        <v>0</v>
      </c>
      <c r="D42" s="0" t="n">
        <v>0</v>
      </c>
      <c r="E42" s="0" t="s">
        <v>776</v>
      </c>
      <c r="F42" s="0" t="n">
        <f aca="false">VLOOKUP(E42,$Q$1:$R$5,2,0)</f>
        <v>0</v>
      </c>
      <c r="G42" s="0" t="n">
        <v>0</v>
      </c>
      <c r="H42" s="0" t="s">
        <v>794</v>
      </c>
      <c r="I42" s="0" t="s">
        <v>193</v>
      </c>
      <c r="J42" s="0" t="s">
        <v>193</v>
      </c>
      <c r="K42" s="0" t="s">
        <v>193</v>
      </c>
    </row>
    <row r="43" customFormat="false" ht="12.8" hidden="false" customHeight="false" outlineLevel="0" collapsed="false">
      <c r="A43" s="0" t="n">
        <v>58.126359</v>
      </c>
      <c r="B43" s="0" t="s">
        <v>778</v>
      </c>
      <c r="C43" s="0" t="n">
        <f aca="false">VLOOKUP(B43,$Q$1:$R$5,2,0)</f>
        <v>2</v>
      </c>
      <c r="D43" s="0" t="n">
        <v>2</v>
      </c>
      <c r="E43" s="0" t="s">
        <v>774</v>
      </c>
      <c r="F43" s="0" t="n">
        <f aca="false">VLOOKUP(E43,$Q$1:$R$5,2,0)</f>
        <v>1</v>
      </c>
      <c r="G43" s="0" t="n">
        <v>1</v>
      </c>
      <c r="H43" s="0" t="s">
        <v>775</v>
      </c>
      <c r="I43" s="0" t="s">
        <v>140</v>
      </c>
      <c r="J43" s="0" t="s">
        <v>140</v>
      </c>
      <c r="K43" s="0" t="s">
        <v>140</v>
      </c>
    </row>
    <row r="44" customFormat="false" ht="12.8" hidden="false" customHeight="false" outlineLevel="0" collapsed="false">
      <c r="A44" s="0" t="n">
        <v>92.394002</v>
      </c>
      <c r="B44" s="0" t="s">
        <v>777</v>
      </c>
      <c r="C44" s="0" t="n">
        <f aca="false">VLOOKUP(B44,$Q$1:$R$5,2,0)</f>
        <v>3</v>
      </c>
      <c r="D44" s="0" t="n">
        <v>2</v>
      </c>
      <c r="E44" s="0" t="s">
        <v>778</v>
      </c>
      <c r="F44" s="0" t="n">
        <f aca="false">VLOOKUP(E44,$Q$1:$R$5,2,0)</f>
        <v>2</v>
      </c>
      <c r="G44" s="0" t="n">
        <v>2</v>
      </c>
      <c r="H44" s="0" t="s">
        <v>798</v>
      </c>
      <c r="I44" s="0" t="s">
        <v>230</v>
      </c>
      <c r="J44" s="0" t="s">
        <v>230</v>
      </c>
      <c r="K44" s="0" t="s">
        <v>230</v>
      </c>
    </row>
    <row r="45" customFormat="false" ht="12.8" hidden="false" customHeight="false" outlineLevel="0" collapsed="false">
      <c r="A45" s="0" t="n">
        <v>88.064655</v>
      </c>
      <c r="B45" s="0" t="s">
        <v>774</v>
      </c>
      <c r="C45" s="0" t="n">
        <f aca="false">VLOOKUP(B45,$Q$1:$R$5,2,0)</f>
        <v>1</v>
      </c>
      <c r="D45" s="0" t="n">
        <v>0</v>
      </c>
      <c r="E45" s="0" t="s">
        <v>774</v>
      </c>
      <c r="F45" s="0" t="n">
        <f aca="false">VLOOKUP(E45,$Q$1:$R$5,2,0)</f>
        <v>1</v>
      </c>
      <c r="G45" s="0" t="n">
        <v>0</v>
      </c>
      <c r="H45" s="0" t="s">
        <v>1</v>
      </c>
      <c r="I45" s="0" t="s">
        <v>127</v>
      </c>
      <c r="J45" s="0" t="s">
        <v>127</v>
      </c>
      <c r="K45" s="0" t="s">
        <v>127</v>
      </c>
    </row>
    <row r="46" customFormat="false" ht="12.8" hidden="false" customHeight="false" outlineLevel="0" collapsed="false">
      <c r="A46" s="0" t="n">
        <v>81.304997</v>
      </c>
      <c r="B46" s="0" t="s">
        <v>776</v>
      </c>
      <c r="C46" s="0" t="n">
        <f aca="false">VLOOKUP(B46,$Q$1:$R$5,2,0)</f>
        <v>0</v>
      </c>
      <c r="D46" s="0" t="n">
        <v>2</v>
      </c>
      <c r="E46" s="0" t="s">
        <v>776</v>
      </c>
      <c r="F46" s="0" t="n">
        <f aca="false">VLOOKUP(E46,$Q$1:$R$5,2,0)</f>
        <v>0</v>
      </c>
      <c r="G46" s="0" t="n">
        <v>0</v>
      </c>
      <c r="I46" s="0" t="s">
        <v>79</v>
      </c>
      <c r="J46" s="0" t="s">
        <v>79</v>
      </c>
      <c r="K46" s="0" t="s">
        <v>79</v>
      </c>
    </row>
    <row r="47" customFormat="false" ht="12.8" hidden="false" customHeight="false" outlineLevel="0" collapsed="false">
      <c r="A47" s="0" t="n">
        <v>79.090908</v>
      </c>
      <c r="B47" s="0" t="s">
        <v>778</v>
      </c>
      <c r="C47" s="0" t="n">
        <f aca="false">VLOOKUP(B47,$Q$1:$R$5,2,0)</f>
        <v>2</v>
      </c>
      <c r="D47" s="0" t="n">
        <v>3</v>
      </c>
      <c r="E47" s="0" t="s">
        <v>778</v>
      </c>
      <c r="F47" s="0" t="n">
        <f aca="false">VLOOKUP(E47,$Q$1:$R$5,2,0)</f>
        <v>2</v>
      </c>
      <c r="G47" s="0" t="n">
        <v>1</v>
      </c>
      <c r="H47" s="0" t="s">
        <v>775</v>
      </c>
      <c r="I47" s="0" t="s">
        <v>74</v>
      </c>
      <c r="J47" s="0" t="s">
        <v>74</v>
      </c>
      <c r="K47" s="0" t="s">
        <v>74</v>
      </c>
    </row>
    <row r="48" customFormat="false" ht="12.8" hidden="false" customHeight="false" outlineLevel="0" collapsed="false">
      <c r="A48" s="0" t="n">
        <v>93.631917</v>
      </c>
      <c r="B48" s="0" t="s">
        <v>778</v>
      </c>
      <c r="C48" s="0" t="n">
        <f aca="false">VLOOKUP(B48,$Q$1:$R$5,2,0)</f>
        <v>2</v>
      </c>
      <c r="D48" s="0" t="n">
        <v>1</v>
      </c>
      <c r="E48" s="0" t="s">
        <v>774</v>
      </c>
      <c r="F48" s="0" t="n">
        <f aca="false">VLOOKUP(E48,$Q$1:$R$5,2,0)</f>
        <v>1</v>
      </c>
      <c r="G48" s="0" t="n">
        <v>0</v>
      </c>
      <c r="H48" s="0" t="s">
        <v>1</v>
      </c>
      <c r="I48" s="0" t="s">
        <v>236</v>
      </c>
      <c r="J48" s="0" t="s">
        <v>236</v>
      </c>
      <c r="K48" s="0" t="s">
        <v>236</v>
      </c>
    </row>
    <row r="49" customFormat="false" ht="12.8" hidden="false" customHeight="false" outlineLevel="0" collapsed="false">
      <c r="A49" s="0" t="n">
        <v>111.199214</v>
      </c>
      <c r="B49" s="0" t="s">
        <v>777</v>
      </c>
      <c r="C49" s="0" t="n">
        <f aca="false">VLOOKUP(B49,$Q$1:$R$5,2,0)</f>
        <v>3</v>
      </c>
      <c r="D49" s="0" t="n">
        <v>4</v>
      </c>
      <c r="E49" s="0" t="s">
        <v>777</v>
      </c>
      <c r="F49" s="0" t="n">
        <f aca="false">VLOOKUP(E49,$Q$1:$R$5,2,0)</f>
        <v>3</v>
      </c>
      <c r="G49" s="0" t="n">
        <v>0</v>
      </c>
      <c r="H49" s="0" t="s">
        <v>799</v>
      </c>
      <c r="I49" s="0" t="s">
        <v>104</v>
      </c>
      <c r="J49" s="0" t="s">
        <v>104</v>
      </c>
      <c r="K49" s="0" t="s">
        <v>104</v>
      </c>
    </row>
    <row r="50" customFormat="false" ht="12.8" hidden="false" customHeight="false" outlineLevel="0" collapsed="false">
      <c r="A50" s="0" t="n">
        <v>121.382721</v>
      </c>
      <c r="B50" s="0" t="s">
        <v>776</v>
      </c>
      <c r="C50" s="0" t="n">
        <f aca="false">VLOOKUP(B50,$Q$1:$R$5,2,0)</f>
        <v>0</v>
      </c>
      <c r="D50" s="0" t="n">
        <v>2</v>
      </c>
      <c r="E50" s="0" t="s">
        <v>776</v>
      </c>
      <c r="F50" s="0" t="n">
        <f aca="false">VLOOKUP(E50,$Q$1:$R$5,2,0)</f>
        <v>0</v>
      </c>
      <c r="G50" s="0" t="n">
        <v>0</v>
      </c>
      <c r="H50" s="0" t="s">
        <v>800</v>
      </c>
      <c r="I50" s="0" t="s">
        <v>89</v>
      </c>
      <c r="J50" s="0" t="s">
        <v>89</v>
      </c>
      <c r="K50" s="0" t="s">
        <v>89</v>
      </c>
    </row>
    <row r="51" customFormat="false" ht="12.8" hidden="false" customHeight="false" outlineLevel="0" collapsed="false">
      <c r="A51" s="0" t="n">
        <v>92.519993</v>
      </c>
      <c r="B51" s="0" t="s">
        <v>780</v>
      </c>
      <c r="C51" s="0" t="n">
        <f aca="false">VLOOKUP(B51,$Q$1:$R$5,2,0)</f>
        <v>4</v>
      </c>
      <c r="D51" s="0" t="n">
        <v>6</v>
      </c>
      <c r="E51" s="0" t="s">
        <v>778</v>
      </c>
      <c r="F51" s="0" t="n">
        <f aca="false">VLOOKUP(E51,$Q$1:$R$5,2,0)</f>
        <v>2</v>
      </c>
      <c r="G51" s="0" t="n">
        <v>2</v>
      </c>
      <c r="H51" s="0" t="s">
        <v>775</v>
      </c>
      <c r="I51" s="0" t="s">
        <v>137</v>
      </c>
      <c r="J51" s="0" t="s">
        <v>137</v>
      </c>
      <c r="K51" s="0" t="s">
        <v>137</v>
      </c>
    </row>
    <row r="52" customFormat="false" ht="12.8" hidden="false" customHeight="false" outlineLevel="0" collapsed="false">
      <c r="A52" s="0" t="n">
        <v>73.69832</v>
      </c>
      <c r="B52" s="0" t="s">
        <v>780</v>
      </c>
      <c r="C52" s="0" t="n">
        <f aca="false">VLOOKUP(B52,$Q$1:$R$5,2,0)</f>
        <v>4</v>
      </c>
      <c r="D52" s="0" t="n">
        <v>12</v>
      </c>
      <c r="E52" s="0" t="s">
        <v>780</v>
      </c>
      <c r="F52" s="0" t="n">
        <f aca="false">VLOOKUP(E52,$Q$1:$R$5,2,0)</f>
        <v>4</v>
      </c>
      <c r="G52" s="0" t="n">
        <v>10</v>
      </c>
      <c r="H52" s="0" t="s">
        <v>801</v>
      </c>
      <c r="I52" s="0" t="s">
        <v>54</v>
      </c>
      <c r="J52" s="0" t="s">
        <v>54</v>
      </c>
      <c r="K52" s="0" t="s">
        <v>54</v>
      </c>
    </row>
    <row r="53" customFormat="false" ht="12.8" hidden="false" customHeight="false" outlineLevel="0" collapsed="false">
      <c r="A53" s="0" t="n">
        <v>61.670982</v>
      </c>
      <c r="B53" s="0" t="s">
        <v>778</v>
      </c>
      <c r="C53" s="0" t="n">
        <f aca="false">VLOOKUP(B53,$Q$1:$R$5,2,0)</f>
        <v>2</v>
      </c>
      <c r="D53" s="0" t="n">
        <v>2</v>
      </c>
      <c r="E53" s="0" t="s">
        <v>774</v>
      </c>
      <c r="F53" s="0" t="n">
        <f aca="false">VLOOKUP(E53,$Q$1:$R$5,2,0)</f>
        <v>1</v>
      </c>
      <c r="G53" s="0" t="n">
        <v>0</v>
      </c>
      <c r="H53" s="0" t="s">
        <v>781</v>
      </c>
      <c r="I53" s="0" t="s">
        <v>203</v>
      </c>
      <c r="J53" s="0" t="s">
        <v>203</v>
      </c>
      <c r="K53" s="0" t="s">
        <v>203</v>
      </c>
    </row>
    <row r="54" customFormat="false" ht="12.8" hidden="false" customHeight="false" outlineLevel="0" collapsed="false">
      <c r="A54" s="0" t="n">
        <v>107.063906</v>
      </c>
      <c r="B54" s="0" t="s">
        <v>774</v>
      </c>
      <c r="C54" s="0" t="n">
        <f aca="false">VLOOKUP(B54,$Q$1:$R$5,2,0)</f>
        <v>1</v>
      </c>
      <c r="D54" s="0" t="n">
        <v>2</v>
      </c>
      <c r="E54" s="0" t="s">
        <v>774</v>
      </c>
      <c r="F54" s="0" t="n">
        <f aca="false">VLOOKUP(E54,$Q$1:$R$5,2,0)</f>
        <v>1</v>
      </c>
      <c r="G54" s="0" t="n">
        <v>2</v>
      </c>
      <c r="H54" s="0" t="s">
        <v>802</v>
      </c>
      <c r="I54" s="0" t="s">
        <v>101</v>
      </c>
      <c r="J54" s="0" t="s">
        <v>101</v>
      </c>
      <c r="K54" s="0" t="s">
        <v>101</v>
      </c>
    </row>
    <row r="55" customFormat="false" ht="12.8" hidden="false" customHeight="false" outlineLevel="0" collapsed="false">
      <c r="A55" s="0" t="n">
        <v>83.303104</v>
      </c>
      <c r="B55" s="0" t="s">
        <v>778</v>
      </c>
      <c r="C55" s="0" t="n">
        <f aca="false">VLOOKUP(B55,$Q$1:$R$5,2,0)</f>
        <v>2</v>
      </c>
      <c r="D55" s="0" t="n">
        <v>0.5</v>
      </c>
      <c r="E55" s="0" t="s">
        <v>774</v>
      </c>
      <c r="F55" s="0" t="n">
        <f aca="false">VLOOKUP(E55,$Q$1:$R$5,2,0)</f>
        <v>1</v>
      </c>
      <c r="G55" s="0" t="n">
        <v>1</v>
      </c>
      <c r="H55" s="0" t="s">
        <v>781</v>
      </c>
      <c r="I55" s="0" t="s">
        <v>48</v>
      </c>
      <c r="J55" s="0" t="s">
        <v>48</v>
      </c>
      <c r="K55" s="0" t="s">
        <v>48</v>
      </c>
    </row>
    <row r="56" customFormat="false" ht="12.8" hidden="false" customHeight="false" outlineLevel="0" collapsed="false">
      <c r="A56" s="0" t="n">
        <v>105.521519</v>
      </c>
      <c r="B56" s="0" t="s">
        <v>774</v>
      </c>
      <c r="C56" s="0" t="n">
        <f aca="false">VLOOKUP(B56,$Q$1:$R$5,2,0)</f>
        <v>1</v>
      </c>
      <c r="D56" s="0" t="n">
        <v>4</v>
      </c>
      <c r="E56" s="0" t="s">
        <v>774</v>
      </c>
      <c r="F56" s="0" t="n">
        <f aca="false">VLOOKUP(E56,$Q$1:$R$5,2,0)</f>
        <v>1</v>
      </c>
      <c r="G56" s="0" t="n">
        <v>4</v>
      </c>
      <c r="H56" s="0" t="s">
        <v>803</v>
      </c>
      <c r="I56" s="0" t="s">
        <v>209</v>
      </c>
      <c r="J56" s="0" t="s">
        <v>209</v>
      </c>
      <c r="K56" s="0" t="s">
        <v>209</v>
      </c>
    </row>
    <row r="57" customFormat="false" ht="12.8" hidden="false" customHeight="false" outlineLevel="0" collapsed="false">
      <c r="A57" s="0" t="n">
        <v>20.889807</v>
      </c>
      <c r="B57" s="0" t="s">
        <v>777</v>
      </c>
      <c r="C57" s="0" t="n">
        <f aca="false">VLOOKUP(B57,$Q$1:$R$5,2,0)</f>
        <v>3</v>
      </c>
      <c r="D57" s="0" t="n">
        <v>2</v>
      </c>
      <c r="E57" s="0" t="s">
        <v>774</v>
      </c>
      <c r="F57" s="0" t="n">
        <f aca="false">VLOOKUP(E57,$Q$1:$R$5,2,0)</f>
        <v>1</v>
      </c>
      <c r="G57" s="0" t="n">
        <v>0</v>
      </c>
      <c r="H57" s="0" t="s">
        <v>788</v>
      </c>
      <c r="I57" s="0" t="s">
        <v>120</v>
      </c>
      <c r="J57" s="0" t="s">
        <v>120</v>
      </c>
      <c r="K57" s="0" t="s">
        <v>120</v>
      </c>
    </row>
    <row r="58" customFormat="false" ht="12.8" hidden="false" customHeight="false" outlineLevel="0" collapsed="false">
      <c r="A58" s="0" t="n">
        <v>28.529734</v>
      </c>
      <c r="B58" s="0" t="s">
        <v>774</v>
      </c>
      <c r="C58" s="0" t="n">
        <f aca="false">VLOOKUP(B58,$Q$1:$R$5,2,0)</f>
        <v>1</v>
      </c>
      <c r="D58" s="0" t="n">
        <v>1</v>
      </c>
      <c r="E58" s="0" t="s">
        <v>776</v>
      </c>
      <c r="F58" s="0" t="n">
        <f aca="false">VLOOKUP(E58,$Q$1:$R$5,2,0)</f>
        <v>0</v>
      </c>
      <c r="G58" s="0" t="n">
        <v>0</v>
      </c>
      <c r="H58" s="0" t="s">
        <v>781</v>
      </c>
      <c r="I58" s="0" t="s">
        <v>141</v>
      </c>
      <c r="J58" s="0" t="s">
        <v>141</v>
      </c>
      <c r="K58" s="0" t="s">
        <v>141</v>
      </c>
    </row>
    <row r="59" customFormat="false" ht="12.8" hidden="false" customHeight="false" outlineLevel="0" collapsed="false">
      <c r="A59" s="0" t="n">
        <v>89.247287</v>
      </c>
      <c r="B59" s="0" t="s">
        <v>778</v>
      </c>
      <c r="C59" s="0" t="n">
        <f aca="false">VLOOKUP(B59,$Q$1:$R$5,2,0)</f>
        <v>2</v>
      </c>
      <c r="D59" s="0" t="n">
        <v>2</v>
      </c>
      <c r="E59" s="0" t="s">
        <v>774</v>
      </c>
      <c r="F59" s="0" t="n">
        <f aca="false">VLOOKUP(E59,$Q$1:$R$5,2,0)</f>
        <v>1</v>
      </c>
      <c r="G59" s="0" t="n">
        <v>0.5</v>
      </c>
      <c r="H59" s="0" t="s">
        <v>786</v>
      </c>
      <c r="I59" s="0" t="s">
        <v>27</v>
      </c>
      <c r="J59" s="0" t="s">
        <v>27</v>
      </c>
      <c r="K59" s="0" t="s">
        <v>27</v>
      </c>
    </row>
    <row r="60" customFormat="false" ht="12.8" hidden="false" customHeight="false" outlineLevel="0" collapsed="false">
      <c r="A60" s="0" t="n">
        <v>38.537815</v>
      </c>
      <c r="B60" s="0" t="s">
        <v>777</v>
      </c>
      <c r="C60" s="0" t="n">
        <f aca="false">VLOOKUP(B60,$Q$1:$R$5,2,0)</f>
        <v>3</v>
      </c>
      <c r="D60" s="0" t="n">
        <v>1</v>
      </c>
      <c r="E60" s="0" t="s">
        <v>774</v>
      </c>
      <c r="F60" s="0" t="n">
        <f aca="false">VLOOKUP(E60,$Q$1:$R$5,2,0)</f>
        <v>1</v>
      </c>
      <c r="G60" s="0" t="n">
        <v>1</v>
      </c>
      <c r="H60" s="0" t="s">
        <v>804</v>
      </c>
      <c r="I60" s="0" t="s">
        <v>108</v>
      </c>
      <c r="J60" s="0" t="s">
        <v>108</v>
      </c>
      <c r="K60" s="0" t="s">
        <v>108</v>
      </c>
    </row>
    <row r="61" customFormat="false" ht="12.8" hidden="false" customHeight="false" outlineLevel="0" collapsed="false">
      <c r="A61" s="0" t="n">
        <v>53.169504</v>
      </c>
      <c r="B61" s="0" t="s">
        <v>776</v>
      </c>
      <c r="C61" s="0" t="n">
        <f aca="false">VLOOKUP(B61,$Q$1:$R$5,2,0)</f>
        <v>0</v>
      </c>
      <c r="D61" s="0" t="n">
        <v>0</v>
      </c>
      <c r="E61" s="0" t="s">
        <v>776</v>
      </c>
      <c r="F61" s="0" t="n">
        <f aca="false">VLOOKUP(E61,$Q$1:$R$5,2,0)</f>
        <v>0</v>
      </c>
      <c r="G61" s="0" t="n">
        <v>0</v>
      </c>
      <c r="H61" s="0" t="s">
        <v>794</v>
      </c>
      <c r="I61" s="0" t="s">
        <v>121</v>
      </c>
      <c r="J61" s="0" t="s">
        <v>121</v>
      </c>
      <c r="K61" s="0" t="s">
        <v>121</v>
      </c>
    </row>
    <row r="62" customFormat="false" ht="12.8" hidden="false" customHeight="false" outlineLevel="0" collapsed="false">
      <c r="A62" s="0" t="n">
        <v>32.961269</v>
      </c>
      <c r="B62" s="0" t="s">
        <v>776</v>
      </c>
      <c r="C62" s="0" t="n">
        <f aca="false">VLOOKUP(B62,$Q$1:$R$5,2,0)</f>
        <v>0</v>
      </c>
      <c r="D62" s="0" t="n">
        <v>0</v>
      </c>
      <c r="E62" s="0" t="s">
        <v>776</v>
      </c>
      <c r="F62" s="0" t="n">
        <f aca="false">VLOOKUP(E62,$Q$1:$R$5,2,0)</f>
        <v>0</v>
      </c>
      <c r="G62" s="0" t="n">
        <v>0</v>
      </c>
      <c r="H62" s="0" t="s">
        <v>805</v>
      </c>
      <c r="I62" s="0" t="s">
        <v>211</v>
      </c>
      <c r="J62" s="0" t="s">
        <v>211</v>
      </c>
      <c r="K62" s="0" t="s">
        <v>211</v>
      </c>
    </row>
    <row r="63" customFormat="false" ht="12.8" hidden="false" customHeight="false" outlineLevel="0" collapsed="false">
      <c r="A63" s="0" t="n">
        <v>67.394263</v>
      </c>
      <c r="B63" s="0" t="s">
        <v>774</v>
      </c>
      <c r="C63" s="0" t="n">
        <f aca="false">VLOOKUP(B63,$Q$1:$R$5,2,0)</f>
        <v>1</v>
      </c>
      <c r="D63" s="0" t="n">
        <v>2</v>
      </c>
      <c r="E63" s="0" t="s">
        <v>774</v>
      </c>
      <c r="F63" s="0" t="n">
        <f aca="false">VLOOKUP(E63,$Q$1:$R$5,2,0)</f>
        <v>1</v>
      </c>
      <c r="G63" s="0" t="n">
        <v>1</v>
      </c>
      <c r="H63" s="0" t="s">
        <v>788</v>
      </c>
      <c r="I63" s="0" t="s">
        <v>86</v>
      </c>
      <c r="J63" s="0" t="s">
        <v>86</v>
      </c>
      <c r="K63" s="0" t="s">
        <v>86</v>
      </c>
    </row>
    <row r="64" customFormat="false" ht="12.8" hidden="false" customHeight="false" outlineLevel="0" collapsed="false">
      <c r="A64" s="0" t="n">
        <v>48.981323</v>
      </c>
      <c r="B64" s="0" t="s">
        <v>777</v>
      </c>
      <c r="C64" s="0" t="n">
        <f aca="false">VLOOKUP(B64,$Q$1:$R$5,2,0)</f>
        <v>3</v>
      </c>
      <c r="D64" s="0" t="n">
        <v>0</v>
      </c>
      <c r="E64" s="0" t="s">
        <v>778</v>
      </c>
      <c r="F64" s="0" t="n">
        <f aca="false">VLOOKUP(E64,$Q$1:$R$5,2,0)</f>
        <v>2</v>
      </c>
      <c r="G64" s="0" t="n">
        <v>0</v>
      </c>
      <c r="H64" s="0" t="s">
        <v>775</v>
      </c>
      <c r="I64" s="0" t="s">
        <v>106</v>
      </c>
      <c r="J64" s="0" t="s">
        <v>106</v>
      </c>
      <c r="K64" s="0" t="s">
        <v>106</v>
      </c>
    </row>
    <row r="65" customFormat="false" ht="12.8" hidden="false" customHeight="false" outlineLevel="0" collapsed="false">
      <c r="A65" s="0" t="n">
        <v>92.778125</v>
      </c>
      <c r="B65" s="0" t="s">
        <v>774</v>
      </c>
      <c r="C65" s="0" t="n">
        <f aca="false">VLOOKUP(B65,$Q$1:$R$5,2,0)</f>
        <v>1</v>
      </c>
      <c r="D65" s="0" t="n">
        <v>2</v>
      </c>
      <c r="E65" s="0" t="s">
        <v>774</v>
      </c>
      <c r="F65" s="0" t="n">
        <f aca="false">VLOOKUP(E65,$Q$1:$R$5,2,0)</f>
        <v>1</v>
      </c>
      <c r="G65" s="0" t="n">
        <v>0</v>
      </c>
      <c r="H65" s="0" t="s">
        <v>806</v>
      </c>
      <c r="I65" s="0" t="s">
        <v>160</v>
      </c>
      <c r="J65" s="0" t="s">
        <v>160</v>
      </c>
      <c r="K65" s="0" t="s">
        <v>160</v>
      </c>
    </row>
    <row r="66" customFormat="false" ht="12.8" hidden="false" customHeight="false" outlineLevel="0" collapsed="false">
      <c r="A66" s="0" t="n">
        <v>51.121517</v>
      </c>
      <c r="B66" s="0" t="s">
        <v>776</v>
      </c>
      <c r="C66" s="0" t="n">
        <f aca="false">VLOOKUP(B66,$Q$1:$R$5,2,0)</f>
        <v>0</v>
      </c>
      <c r="D66" s="0" t="n">
        <v>2</v>
      </c>
      <c r="E66" s="0" t="s">
        <v>776</v>
      </c>
      <c r="F66" s="0" t="n">
        <f aca="false">VLOOKUP(E66,$Q$1:$R$5,2,0)</f>
        <v>0</v>
      </c>
      <c r="G66" s="0" t="n">
        <v>0</v>
      </c>
      <c r="I66" s="0" t="s">
        <v>123</v>
      </c>
      <c r="J66" s="0" t="s">
        <v>123</v>
      </c>
      <c r="K66" s="0" t="s">
        <v>123</v>
      </c>
    </row>
    <row r="67" customFormat="false" ht="12.8" hidden="false" customHeight="false" outlineLevel="0" collapsed="false">
      <c r="A67" s="0" t="n">
        <v>41.447181</v>
      </c>
      <c r="B67" s="0" t="s">
        <v>777</v>
      </c>
      <c r="C67" s="0" t="n">
        <f aca="false">VLOOKUP(B67,$Q$1:$R$5,2,0)</f>
        <v>3</v>
      </c>
      <c r="D67" s="0" t="n">
        <v>0</v>
      </c>
      <c r="E67" s="0" t="s">
        <v>776</v>
      </c>
      <c r="F67" s="0" t="n">
        <f aca="false">VLOOKUP(E67,$Q$1:$R$5,2,0)</f>
        <v>0</v>
      </c>
      <c r="G67" s="0" t="n">
        <v>0</v>
      </c>
      <c r="I67" s="0" t="s">
        <v>61</v>
      </c>
      <c r="J67" s="0" t="s">
        <v>61</v>
      </c>
      <c r="K67" s="0" t="s">
        <v>61</v>
      </c>
    </row>
    <row r="68" customFormat="false" ht="12.8" hidden="false" customHeight="false" outlineLevel="0" collapsed="false">
      <c r="A68" s="0" t="n">
        <v>76.666596</v>
      </c>
      <c r="B68" s="0" t="s">
        <v>780</v>
      </c>
      <c r="C68" s="0" t="n">
        <f aca="false">VLOOKUP(B68,$Q$1:$R$5,2,0)</f>
        <v>4</v>
      </c>
      <c r="D68" s="0" t="n">
        <v>7</v>
      </c>
      <c r="E68" s="0" t="s">
        <v>774</v>
      </c>
      <c r="F68" s="0" t="n">
        <f aca="false">VLOOKUP(E68,$Q$1:$R$5,2,0)</f>
        <v>1</v>
      </c>
      <c r="G68" s="0" t="n">
        <v>0</v>
      </c>
      <c r="H68" s="0" t="s">
        <v>775</v>
      </c>
      <c r="I68" s="0" t="s">
        <v>148</v>
      </c>
      <c r="J68" s="0" t="s">
        <v>148</v>
      </c>
      <c r="K68" s="0" t="s">
        <v>148</v>
      </c>
    </row>
    <row r="69" customFormat="false" ht="12.8" hidden="false" customHeight="false" outlineLevel="0" collapsed="false">
      <c r="A69" s="0" t="n">
        <v>34.796766</v>
      </c>
      <c r="B69" s="0" t="s">
        <v>776</v>
      </c>
      <c r="C69" s="0" t="n">
        <f aca="false">VLOOKUP(B69,$Q$1:$R$5,2,0)</f>
        <v>0</v>
      </c>
      <c r="E69" s="0" t="s">
        <v>776</v>
      </c>
      <c r="F69" s="0" t="n">
        <f aca="false">VLOOKUP(E69,$Q$1:$R$5,2,0)</f>
        <v>0</v>
      </c>
      <c r="G69" s="0" t="n">
        <v>0</v>
      </c>
      <c r="I69" s="0" t="s">
        <v>232</v>
      </c>
      <c r="J69" s="0" t="s">
        <v>232</v>
      </c>
      <c r="K69" s="0" t="s">
        <v>232</v>
      </c>
    </row>
    <row r="70" customFormat="false" ht="12.8" hidden="false" customHeight="false" outlineLevel="0" collapsed="false">
      <c r="A70" s="0" t="n">
        <v>57.490604</v>
      </c>
      <c r="B70" s="0" t="s">
        <v>774</v>
      </c>
      <c r="C70" s="0" t="n">
        <f aca="false">VLOOKUP(B70,$Q$1:$R$5,2,0)</f>
        <v>1</v>
      </c>
      <c r="D70" s="0" t="n">
        <v>4</v>
      </c>
      <c r="E70" s="0" t="s">
        <v>774</v>
      </c>
      <c r="F70" s="0" t="n">
        <f aca="false">VLOOKUP(E70,$Q$1:$R$5,2,0)</f>
        <v>1</v>
      </c>
      <c r="G70" s="0" t="n">
        <v>1</v>
      </c>
      <c r="H70" s="0" t="s">
        <v>807</v>
      </c>
      <c r="I70" s="0" t="s">
        <v>250</v>
      </c>
      <c r="J70" s="0" t="s">
        <v>250</v>
      </c>
      <c r="K70" s="0" t="s">
        <v>250</v>
      </c>
    </row>
    <row r="71" customFormat="false" ht="12.8" hidden="false" customHeight="false" outlineLevel="0" collapsed="false">
      <c r="A71" s="0" t="n">
        <v>93.537712</v>
      </c>
      <c r="B71" s="0" t="s">
        <v>780</v>
      </c>
      <c r="C71" s="0" t="n">
        <f aca="false">VLOOKUP(B71,$Q$1:$R$5,2,0)</f>
        <v>4</v>
      </c>
      <c r="D71" s="0" t="n">
        <v>5</v>
      </c>
      <c r="E71" s="0" t="s">
        <v>778</v>
      </c>
      <c r="F71" s="0" t="n">
        <f aca="false">VLOOKUP(E71,$Q$1:$R$5,2,0)</f>
        <v>2</v>
      </c>
      <c r="G71" s="0" t="n">
        <v>2</v>
      </c>
      <c r="H71" s="0" t="s">
        <v>781</v>
      </c>
      <c r="I71" s="0" t="s">
        <v>153</v>
      </c>
      <c r="J71" s="0" t="s">
        <v>153</v>
      </c>
      <c r="K71" s="0" t="s">
        <v>153</v>
      </c>
    </row>
    <row r="72" customFormat="false" ht="12.8" hidden="false" customHeight="false" outlineLevel="0" collapsed="false">
      <c r="A72" s="0" t="n">
        <v>60.662694</v>
      </c>
      <c r="B72" s="0" t="s">
        <v>774</v>
      </c>
      <c r="C72" s="0" t="n">
        <f aca="false">VLOOKUP(B72,$Q$1:$R$5,2,0)</f>
        <v>1</v>
      </c>
      <c r="D72" s="0" t="n">
        <v>2</v>
      </c>
      <c r="E72" s="0" t="s">
        <v>774</v>
      </c>
      <c r="F72" s="0" t="n">
        <f aca="false">VLOOKUP(E72,$Q$1:$R$5,2,0)</f>
        <v>1</v>
      </c>
      <c r="G72" s="0" t="n">
        <v>2</v>
      </c>
      <c r="H72" s="0" t="s">
        <v>808</v>
      </c>
      <c r="I72" s="0" t="s">
        <v>237</v>
      </c>
      <c r="J72" s="0" t="s">
        <v>237</v>
      </c>
      <c r="K72" s="0" t="s">
        <v>237</v>
      </c>
    </row>
    <row r="73" customFormat="false" ht="12.8" hidden="false" customHeight="false" outlineLevel="0" collapsed="false">
      <c r="A73" s="0" t="n">
        <v>57.482573</v>
      </c>
      <c r="B73" s="0" t="s">
        <v>780</v>
      </c>
      <c r="C73" s="0" t="n">
        <f aca="false">VLOOKUP(B73,$Q$1:$R$5,2,0)</f>
        <v>4</v>
      </c>
      <c r="D73" s="0" t="n">
        <v>25</v>
      </c>
      <c r="E73" s="0" t="s">
        <v>780</v>
      </c>
      <c r="F73" s="0" t="n">
        <f aca="false">VLOOKUP(E73,$Q$1:$R$5,2,0)</f>
        <v>4</v>
      </c>
      <c r="G73" s="0" t="n">
        <v>25</v>
      </c>
      <c r="H73" s="0" t="s">
        <v>809</v>
      </c>
      <c r="I73" s="0" t="s">
        <v>235</v>
      </c>
      <c r="J73" s="0" t="s">
        <v>235</v>
      </c>
      <c r="K73" s="0" t="s">
        <v>235</v>
      </c>
    </row>
    <row r="74" customFormat="false" ht="12.8" hidden="false" customHeight="false" outlineLevel="0" collapsed="false">
      <c r="A74" s="0" t="n">
        <v>46.193239</v>
      </c>
      <c r="B74" s="0" t="s">
        <v>778</v>
      </c>
      <c r="C74" s="0" t="n">
        <f aca="false">VLOOKUP(B74,$Q$1:$R$5,2,0)</f>
        <v>2</v>
      </c>
      <c r="D74" s="0" t="n">
        <v>5</v>
      </c>
      <c r="E74" s="0" t="s">
        <v>778</v>
      </c>
      <c r="F74" s="0" t="n">
        <f aca="false">VLOOKUP(E74,$Q$1:$R$5,2,0)</f>
        <v>2</v>
      </c>
      <c r="G74" s="0" t="n">
        <v>3</v>
      </c>
      <c r="H74" s="0" t="s">
        <v>779</v>
      </c>
      <c r="I74" s="0" t="s">
        <v>217</v>
      </c>
      <c r="J74" s="0" t="s">
        <v>217</v>
      </c>
      <c r="K74" s="0" t="s">
        <v>217</v>
      </c>
    </row>
    <row r="75" customFormat="false" ht="12.8" hidden="false" customHeight="false" outlineLevel="0" collapsed="false">
      <c r="A75" s="0" t="n">
        <v>74.607993</v>
      </c>
      <c r="B75" s="0" t="s">
        <v>777</v>
      </c>
      <c r="C75" s="0" t="n">
        <f aca="false">VLOOKUP(B75,$Q$1:$R$5,2,0)</f>
        <v>3</v>
      </c>
      <c r="D75" s="0" t="n">
        <v>2</v>
      </c>
      <c r="E75" s="0" t="s">
        <v>774</v>
      </c>
      <c r="F75" s="0" t="n">
        <f aca="false">VLOOKUP(E75,$Q$1:$R$5,2,0)</f>
        <v>1</v>
      </c>
      <c r="G75" s="0" t="n">
        <v>1</v>
      </c>
      <c r="H75" s="0" t="s">
        <v>810</v>
      </c>
      <c r="I75" s="0" t="s">
        <v>167</v>
      </c>
      <c r="J75" s="0" t="s">
        <v>167</v>
      </c>
      <c r="K75" s="0" t="s">
        <v>167</v>
      </c>
    </row>
    <row r="76" customFormat="false" ht="12.8" hidden="false" customHeight="false" outlineLevel="0" collapsed="false">
      <c r="A76" s="0" t="n">
        <v>74.017327</v>
      </c>
      <c r="B76" s="0" t="s">
        <v>774</v>
      </c>
      <c r="C76" s="0" t="n">
        <f aca="false">VLOOKUP(B76,$Q$1:$R$5,2,0)</f>
        <v>1</v>
      </c>
      <c r="D76" s="0" t="n">
        <v>0.5</v>
      </c>
      <c r="E76" s="0" t="s">
        <v>774</v>
      </c>
      <c r="F76" s="0" t="n">
        <f aca="false">VLOOKUP(E76,$Q$1:$R$5,2,0)</f>
        <v>1</v>
      </c>
      <c r="G76" s="0" t="n">
        <v>0</v>
      </c>
      <c r="H76" s="0" t="s">
        <v>775</v>
      </c>
      <c r="I76" s="0" t="s">
        <v>213</v>
      </c>
      <c r="J76" s="0" t="s">
        <v>213</v>
      </c>
      <c r="K76" s="0" t="s">
        <v>213</v>
      </c>
    </row>
    <row r="77" customFormat="false" ht="12.8" hidden="false" customHeight="false" outlineLevel="0" collapsed="false">
      <c r="A77" s="0" t="n">
        <v>34.176102</v>
      </c>
      <c r="B77" s="0" t="s">
        <v>778</v>
      </c>
      <c r="C77" s="0" t="n">
        <f aca="false">VLOOKUP(B77,$Q$1:$R$5,2,0)</f>
        <v>2</v>
      </c>
      <c r="D77" s="0" t="n">
        <v>4</v>
      </c>
      <c r="E77" s="0" t="s">
        <v>780</v>
      </c>
      <c r="F77" s="0" t="n">
        <f aca="false">VLOOKUP(E77,$Q$1:$R$5,2,0)</f>
        <v>4</v>
      </c>
      <c r="G77" s="0" t="n">
        <v>5</v>
      </c>
      <c r="H77" s="0" t="s">
        <v>775</v>
      </c>
      <c r="I77" s="0" t="s">
        <v>131</v>
      </c>
      <c r="J77" s="0" t="s">
        <v>131</v>
      </c>
      <c r="K77" s="0" t="s">
        <v>131</v>
      </c>
    </row>
    <row r="78" customFormat="false" ht="12.8" hidden="false" customHeight="false" outlineLevel="0" collapsed="false">
      <c r="A78" s="0" t="n">
        <v>53.590582</v>
      </c>
      <c r="B78" s="0" t="s">
        <v>776</v>
      </c>
      <c r="C78" s="0" t="n">
        <f aca="false">VLOOKUP(B78,$Q$1:$R$5,2,0)</f>
        <v>0</v>
      </c>
      <c r="D78" s="0" t="n">
        <v>1</v>
      </c>
      <c r="E78" s="0" t="s">
        <v>774</v>
      </c>
      <c r="F78" s="0" t="n">
        <f aca="false">VLOOKUP(E78,$Q$1:$R$5,2,0)</f>
        <v>1</v>
      </c>
      <c r="G78" s="0" t="n">
        <v>0.5</v>
      </c>
      <c r="H78" s="0" t="s">
        <v>775</v>
      </c>
      <c r="I78" s="0" t="s">
        <v>110</v>
      </c>
      <c r="J78" s="0" t="s">
        <v>110</v>
      </c>
      <c r="K78" s="0" t="s">
        <v>110</v>
      </c>
    </row>
    <row r="79" customFormat="false" ht="12.8" hidden="false" customHeight="false" outlineLevel="0" collapsed="false">
      <c r="A79" s="0" t="n">
        <v>56.264945</v>
      </c>
      <c r="B79" s="0" t="s">
        <v>778</v>
      </c>
      <c r="C79" s="0" t="n">
        <f aca="false">VLOOKUP(B79,$Q$1:$R$5,2,0)</f>
        <v>2</v>
      </c>
      <c r="D79" s="0" t="n">
        <v>7</v>
      </c>
      <c r="E79" s="0" t="s">
        <v>778</v>
      </c>
      <c r="F79" s="0" t="n">
        <f aca="false">VLOOKUP(E79,$Q$1:$R$5,2,0)</f>
        <v>2</v>
      </c>
      <c r="G79" s="0" t="n">
        <v>0</v>
      </c>
      <c r="H79" s="0" t="s">
        <v>811</v>
      </c>
      <c r="I79" s="0" t="s">
        <v>162</v>
      </c>
      <c r="J79" s="0" t="s">
        <v>162</v>
      </c>
      <c r="K79" s="0" t="s">
        <v>162</v>
      </c>
    </row>
    <row r="80" customFormat="false" ht="12.8" hidden="false" customHeight="false" outlineLevel="0" collapsed="false">
      <c r="A80" s="0" t="n">
        <v>61.828915</v>
      </c>
      <c r="B80" s="0" t="s">
        <v>774</v>
      </c>
      <c r="C80" s="0" t="n">
        <f aca="false">VLOOKUP(B80,$Q$1:$R$5,2,0)</f>
        <v>1</v>
      </c>
      <c r="D80" s="0" t="n">
        <v>0</v>
      </c>
      <c r="E80" s="0" t="s">
        <v>774</v>
      </c>
      <c r="F80" s="0" t="n">
        <f aca="false">VLOOKUP(E80,$Q$1:$R$5,2,0)</f>
        <v>1</v>
      </c>
      <c r="G80" s="0" t="n">
        <v>0</v>
      </c>
      <c r="H80" s="0" t="s">
        <v>788</v>
      </c>
      <c r="I80" s="0" t="s">
        <v>128</v>
      </c>
      <c r="J80" s="0" t="s">
        <v>128</v>
      </c>
      <c r="K80" s="0" t="s">
        <v>128</v>
      </c>
    </row>
    <row r="81" customFormat="false" ht="12.8" hidden="false" customHeight="false" outlineLevel="0" collapsed="false">
      <c r="A81" s="0" t="n">
        <v>84.323844</v>
      </c>
      <c r="B81" s="0" t="s">
        <v>778</v>
      </c>
      <c r="C81" s="0" t="n">
        <f aca="false">VLOOKUP(B81,$Q$1:$R$5,2,0)</f>
        <v>2</v>
      </c>
      <c r="D81" s="0" t="n">
        <v>4</v>
      </c>
      <c r="E81" s="0" t="s">
        <v>774</v>
      </c>
      <c r="F81" s="0" t="n">
        <f aca="false">VLOOKUP(E81,$Q$1:$R$5,2,0)</f>
        <v>1</v>
      </c>
      <c r="G81" s="0" t="n">
        <v>0</v>
      </c>
      <c r="H81" s="0" t="s">
        <v>787</v>
      </c>
      <c r="I81" s="0" t="s">
        <v>118</v>
      </c>
      <c r="J81" s="0" t="s">
        <v>118</v>
      </c>
      <c r="K81" s="0" t="s">
        <v>118</v>
      </c>
    </row>
    <row r="82" customFormat="false" ht="12.8" hidden="false" customHeight="false" outlineLevel="0" collapsed="false">
      <c r="A82" s="0" t="n">
        <v>61.162862</v>
      </c>
      <c r="B82" s="0" t="s">
        <v>774</v>
      </c>
      <c r="C82" s="0" t="n">
        <f aca="false">VLOOKUP(B82,$Q$1:$R$5,2,0)</f>
        <v>1</v>
      </c>
      <c r="D82" s="0" t="n">
        <v>1.5</v>
      </c>
      <c r="E82" s="0" t="s">
        <v>774</v>
      </c>
      <c r="F82" s="0" t="n">
        <f aca="false">VLOOKUP(E82,$Q$1:$R$5,2,0)</f>
        <v>1</v>
      </c>
      <c r="G82" s="0" t="n">
        <v>1.5</v>
      </c>
      <c r="H82" s="0" t="s">
        <v>775</v>
      </c>
      <c r="I82" s="0" t="s">
        <v>96</v>
      </c>
      <c r="J82" s="0" t="s">
        <v>96</v>
      </c>
      <c r="K82" s="0" t="s">
        <v>96</v>
      </c>
    </row>
    <row r="83" customFormat="false" ht="12.8" hidden="false" customHeight="false" outlineLevel="0" collapsed="false">
      <c r="A83" s="0" t="n">
        <v>59.496901</v>
      </c>
      <c r="B83" s="0" t="s">
        <v>777</v>
      </c>
      <c r="C83" s="0" t="n">
        <f aca="false">VLOOKUP(B83,$Q$1:$R$5,2,0)</f>
        <v>3</v>
      </c>
      <c r="D83" s="0" t="n">
        <v>2.5</v>
      </c>
      <c r="E83" s="0" t="s">
        <v>777</v>
      </c>
      <c r="F83" s="0" t="n">
        <f aca="false">VLOOKUP(E83,$Q$1:$R$5,2,0)</f>
        <v>3</v>
      </c>
      <c r="G83" s="0" t="n">
        <v>2.5</v>
      </c>
      <c r="H83" s="0" t="s">
        <v>812</v>
      </c>
      <c r="I83" s="0" t="s">
        <v>64</v>
      </c>
      <c r="J83" s="0" t="s">
        <v>64</v>
      </c>
      <c r="K83" s="0" t="s">
        <v>64</v>
      </c>
    </row>
    <row r="84" customFormat="false" ht="12.8" hidden="false" customHeight="false" outlineLevel="0" collapsed="false">
      <c r="A84" s="0" t="n">
        <v>11.41015</v>
      </c>
      <c r="B84" s="0" t="s">
        <v>776</v>
      </c>
      <c r="C84" s="0" t="n">
        <f aca="false">VLOOKUP(B84,$Q$1:$R$5,2,0)</f>
        <v>0</v>
      </c>
      <c r="D84" s="0" t="n">
        <v>0</v>
      </c>
      <c r="E84" s="0" t="s">
        <v>776</v>
      </c>
      <c r="F84" s="0" t="n">
        <f aca="false">VLOOKUP(E84,$Q$1:$R$5,2,0)</f>
        <v>0</v>
      </c>
      <c r="G84" s="0" t="n">
        <v>0</v>
      </c>
      <c r="I84" s="0" t="s">
        <v>0</v>
      </c>
      <c r="J84" s="0" t="s">
        <v>0</v>
      </c>
      <c r="K84" s="0" t="s">
        <v>0</v>
      </c>
    </row>
    <row r="85" customFormat="false" ht="12.8" hidden="false" customHeight="false" outlineLevel="0" collapsed="false">
      <c r="A85" s="0" t="n">
        <v>45.165817</v>
      </c>
      <c r="B85" s="0" t="s">
        <v>774</v>
      </c>
      <c r="C85" s="0" t="n">
        <f aca="false">VLOOKUP(B85,$Q$1:$R$5,2,0)</f>
        <v>1</v>
      </c>
      <c r="D85" s="0" t="n">
        <v>1</v>
      </c>
      <c r="E85" s="0" t="s">
        <v>776</v>
      </c>
      <c r="F85" s="0" t="n">
        <f aca="false">VLOOKUP(E85,$Q$1:$R$5,2,0)</f>
        <v>0</v>
      </c>
      <c r="G85" s="0" t="n">
        <v>0</v>
      </c>
      <c r="H85" s="0" t="s">
        <v>787</v>
      </c>
      <c r="I85" s="0" t="s">
        <v>246</v>
      </c>
      <c r="J85" s="0" t="s">
        <v>246</v>
      </c>
      <c r="K85" s="0" t="s">
        <v>246</v>
      </c>
    </row>
    <row r="86" customFormat="false" ht="12.8" hidden="false" customHeight="false" outlineLevel="0" collapsed="false">
      <c r="A86" s="0" t="n">
        <v>64.669806</v>
      </c>
      <c r="B86" s="0" t="s">
        <v>776</v>
      </c>
      <c r="C86" s="0" t="n">
        <f aca="false">VLOOKUP(B86,$Q$1:$R$5,2,0)</f>
        <v>0</v>
      </c>
      <c r="D86" s="0" t="n">
        <v>0</v>
      </c>
      <c r="E86" s="0" t="s">
        <v>776</v>
      </c>
      <c r="F86" s="0" t="n">
        <f aca="false">VLOOKUP(E86,$Q$1:$R$5,2,0)</f>
        <v>0</v>
      </c>
      <c r="G86" s="0" t="n">
        <v>0</v>
      </c>
      <c r="I86" s="0" t="s">
        <v>244</v>
      </c>
      <c r="J86" s="0" t="s">
        <v>244</v>
      </c>
      <c r="K86" s="0" t="s">
        <v>244</v>
      </c>
    </row>
    <row r="87" customFormat="false" ht="12.8" hidden="false" customHeight="false" outlineLevel="0" collapsed="false">
      <c r="A87" s="0" t="n">
        <v>50.594618</v>
      </c>
      <c r="B87" s="0" t="s">
        <v>778</v>
      </c>
      <c r="C87" s="0" t="n">
        <f aca="false">VLOOKUP(B87,$Q$1:$R$5,2,0)</f>
        <v>2</v>
      </c>
      <c r="D87" s="0" t="n">
        <v>0</v>
      </c>
      <c r="E87" s="0" t="s">
        <v>778</v>
      </c>
      <c r="F87" s="0" t="n">
        <f aca="false">VLOOKUP(E87,$Q$1:$R$5,2,0)</f>
        <v>2</v>
      </c>
      <c r="G87" s="0" t="n">
        <v>0</v>
      </c>
      <c r="H87" s="0" t="s">
        <v>798</v>
      </c>
      <c r="I87" s="0" t="s">
        <v>169</v>
      </c>
      <c r="J87" s="0" t="s">
        <v>169</v>
      </c>
      <c r="K87" s="0" t="s">
        <v>169</v>
      </c>
    </row>
    <row r="88" customFormat="false" ht="12.8" hidden="false" customHeight="false" outlineLevel="0" collapsed="false">
      <c r="A88" s="0" t="n">
        <v>48.299139</v>
      </c>
      <c r="B88" s="0" t="s">
        <v>776</v>
      </c>
      <c r="C88" s="0" t="n">
        <f aca="false">VLOOKUP(B88,$Q$1:$R$5,2,0)</f>
        <v>0</v>
      </c>
      <c r="D88" s="0" t="n">
        <v>0</v>
      </c>
      <c r="E88" s="0" t="s">
        <v>776</v>
      </c>
      <c r="F88" s="0" t="n">
        <f aca="false">VLOOKUP(E88,$Q$1:$R$5,2,0)</f>
        <v>0</v>
      </c>
      <c r="G88" s="0" t="n">
        <v>0</v>
      </c>
      <c r="H88" s="0" t="s">
        <v>787</v>
      </c>
      <c r="I88" s="0" t="s">
        <v>98</v>
      </c>
      <c r="J88" s="0" t="s">
        <v>98</v>
      </c>
      <c r="K88" s="0" t="s">
        <v>98</v>
      </c>
    </row>
    <row r="89" customFormat="false" ht="12.8" hidden="false" customHeight="false" outlineLevel="0" collapsed="false">
      <c r="A89" s="0" t="n">
        <v>49.287904</v>
      </c>
      <c r="B89" s="0" t="s">
        <v>780</v>
      </c>
      <c r="C89" s="0" t="n">
        <f aca="false">VLOOKUP(B89,$Q$1:$R$5,2,0)</f>
        <v>4</v>
      </c>
      <c r="D89" s="0" t="n">
        <v>2</v>
      </c>
      <c r="E89" s="0" t="s">
        <v>780</v>
      </c>
      <c r="F89" s="0" t="n">
        <f aca="false">VLOOKUP(E89,$Q$1:$R$5,2,0)</f>
        <v>4</v>
      </c>
      <c r="G89" s="0" t="n">
        <v>2</v>
      </c>
      <c r="H89" s="0" t="s">
        <v>779</v>
      </c>
      <c r="I89" s="0" t="s">
        <v>36</v>
      </c>
      <c r="J89" s="0" t="s">
        <v>36</v>
      </c>
      <c r="K89" s="0" t="s">
        <v>36</v>
      </c>
    </row>
    <row r="90" customFormat="false" ht="12.8" hidden="false" customHeight="false" outlineLevel="0" collapsed="false">
      <c r="A90" s="0" t="n">
        <v>123.375512</v>
      </c>
      <c r="B90" s="0" t="s">
        <v>774</v>
      </c>
      <c r="C90" s="0" t="n">
        <f aca="false">VLOOKUP(B90,$Q$1:$R$5,2,0)</f>
        <v>1</v>
      </c>
      <c r="D90" s="0" t="n">
        <v>1</v>
      </c>
      <c r="E90" s="0" t="s">
        <v>774</v>
      </c>
      <c r="F90" s="0" t="n">
        <f aca="false">VLOOKUP(E90,$Q$1:$R$5,2,0)</f>
        <v>1</v>
      </c>
      <c r="G90" s="0" t="n">
        <v>1</v>
      </c>
      <c r="H90" s="0" t="s">
        <v>781</v>
      </c>
      <c r="I90" s="0" t="s">
        <v>182</v>
      </c>
      <c r="J90" s="0" t="s">
        <v>182</v>
      </c>
      <c r="K90" s="0" t="s">
        <v>182</v>
      </c>
    </row>
    <row r="91" customFormat="false" ht="12.8" hidden="false" customHeight="false" outlineLevel="0" collapsed="false">
      <c r="A91" s="0" t="n">
        <v>79.77018</v>
      </c>
      <c r="B91" s="0" t="s">
        <v>778</v>
      </c>
      <c r="C91" s="0" t="n">
        <f aca="false">VLOOKUP(B91,$Q$1:$R$5,2,0)</f>
        <v>2</v>
      </c>
      <c r="D91" s="0" t="n">
        <v>2.5</v>
      </c>
      <c r="E91" s="0" t="s">
        <v>774</v>
      </c>
      <c r="F91" s="0" t="n">
        <f aca="false">VLOOKUP(E91,$Q$1:$R$5,2,0)</f>
        <v>1</v>
      </c>
      <c r="G91" s="0" t="n">
        <v>0.5</v>
      </c>
      <c r="H91" s="0" t="s">
        <v>775</v>
      </c>
      <c r="I91" s="0" t="s">
        <v>72</v>
      </c>
      <c r="J91" s="0" t="s">
        <v>72</v>
      </c>
      <c r="K91" s="0" t="s">
        <v>72</v>
      </c>
    </row>
    <row r="92" customFormat="false" ht="12.8" hidden="false" customHeight="false" outlineLevel="0" collapsed="false">
      <c r="A92" s="0" t="n">
        <v>43.922118</v>
      </c>
      <c r="B92" s="0" t="s">
        <v>776</v>
      </c>
      <c r="C92" s="0" t="n">
        <f aca="false">VLOOKUP(B92,$Q$1:$R$5,2,0)</f>
        <v>0</v>
      </c>
      <c r="D92" s="0" t="n">
        <v>0</v>
      </c>
      <c r="E92" s="0" t="s">
        <v>776</v>
      </c>
      <c r="F92" s="0" t="n">
        <f aca="false">VLOOKUP(E92,$Q$1:$R$5,2,0)</f>
        <v>0</v>
      </c>
      <c r="G92" s="0" t="n">
        <v>0</v>
      </c>
      <c r="I92" s="0" t="s">
        <v>16</v>
      </c>
      <c r="J92" s="0" t="s">
        <v>16</v>
      </c>
      <c r="K92" s="0" t="s">
        <v>16</v>
      </c>
    </row>
    <row r="93" customFormat="false" ht="12.8" hidden="false" customHeight="false" outlineLevel="0" collapsed="false">
      <c r="A93" s="0" t="n">
        <v>50.456521</v>
      </c>
      <c r="B93" s="0" t="s">
        <v>778</v>
      </c>
      <c r="C93" s="0" t="n">
        <f aca="false">VLOOKUP(B93,$Q$1:$R$5,2,0)</f>
        <v>2</v>
      </c>
      <c r="D93" s="0" t="n">
        <v>1</v>
      </c>
      <c r="E93" s="0" t="s">
        <v>774</v>
      </c>
      <c r="F93" s="0" t="n">
        <f aca="false">VLOOKUP(E93,$Q$1:$R$5,2,0)</f>
        <v>1</v>
      </c>
      <c r="G93" s="0" t="n">
        <v>1</v>
      </c>
      <c r="H93" s="0" t="s">
        <v>779</v>
      </c>
      <c r="I93" s="0" t="s">
        <v>88</v>
      </c>
      <c r="J93" s="0" t="s">
        <v>88</v>
      </c>
      <c r="K93" s="0" t="s">
        <v>88</v>
      </c>
    </row>
    <row r="94" customFormat="false" ht="12.8" hidden="false" customHeight="false" outlineLevel="0" collapsed="false">
      <c r="A94" s="0" t="n">
        <v>67.351305</v>
      </c>
      <c r="B94" s="0" t="s">
        <v>778</v>
      </c>
      <c r="C94" s="0" t="n">
        <f aca="false">VLOOKUP(B94,$Q$1:$R$5,2,0)</f>
        <v>2</v>
      </c>
      <c r="D94" s="0" t="n">
        <v>2</v>
      </c>
      <c r="E94" s="0" t="s">
        <v>778</v>
      </c>
      <c r="F94" s="0" t="n">
        <f aca="false">VLOOKUP(E94,$Q$1:$R$5,2,0)</f>
        <v>2</v>
      </c>
      <c r="G94" s="0" t="n">
        <v>1</v>
      </c>
      <c r="H94" s="0" t="s">
        <v>813</v>
      </c>
      <c r="I94" s="0" t="s">
        <v>59</v>
      </c>
      <c r="J94" s="0" t="s">
        <v>59</v>
      </c>
      <c r="K94" s="0" t="s">
        <v>59</v>
      </c>
    </row>
    <row r="95" customFormat="false" ht="12.8" hidden="false" customHeight="false" outlineLevel="0" collapsed="false">
      <c r="A95" s="0" t="n">
        <v>48.823738</v>
      </c>
      <c r="B95" s="0" t="s">
        <v>776</v>
      </c>
      <c r="C95" s="0" t="n">
        <f aca="false">VLOOKUP(B95,$Q$1:$R$5,2,0)</f>
        <v>0</v>
      </c>
      <c r="D95" s="0" t="n">
        <v>0</v>
      </c>
      <c r="E95" s="0" t="s">
        <v>776</v>
      </c>
      <c r="F95" s="0" t="n">
        <f aca="false">VLOOKUP(E95,$Q$1:$R$5,2,0)</f>
        <v>0</v>
      </c>
      <c r="G95" s="0" t="n">
        <v>0</v>
      </c>
      <c r="I95" s="0" t="s">
        <v>159</v>
      </c>
      <c r="J95" s="0" t="s">
        <v>159</v>
      </c>
      <c r="K95" s="0" t="s">
        <v>159</v>
      </c>
    </row>
    <row r="96" customFormat="false" ht="12.8" hidden="false" customHeight="false" outlineLevel="0" collapsed="false">
      <c r="A96" s="0" t="n">
        <v>111.752983</v>
      </c>
      <c r="B96" s="0" t="s">
        <v>778</v>
      </c>
      <c r="C96" s="0" t="n">
        <f aca="false">VLOOKUP(B96,$Q$1:$R$5,2,0)</f>
        <v>2</v>
      </c>
      <c r="D96" s="0" t="n">
        <v>0</v>
      </c>
      <c r="E96" s="0" t="s">
        <v>776</v>
      </c>
      <c r="F96" s="0" t="n">
        <f aca="false">VLOOKUP(E96,$Q$1:$R$5,2,0)</f>
        <v>0</v>
      </c>
      <c r="G96" s="0" t="n">
        <v>0</v>
      </c>
      <c r="H96" s="0" t="s">
        <v>781</v>
      </c>
      <c r="I96" s="0" t="s">
        <v>135</v>
      </c>
      <c r="J96" s="0" t="s">
        <v>135</v>
      </c>
      <c r="K96" s="0" t="s">
        <v>135</v>
      </c>
    </row>
    <row r="97" customFormat="false" ht="12.8" hidden="false" customHeight="false" outlineLevel="0" collapsed="false">
      <c r="A97" s="0" t="n">
        <v>64.038186</v>
      </c>
      <c r="B97" s="0" t="s">
        <v>778</v>
      </c>
      <c r="C97" s="0" t="n">
        <f aca="false">VLOOKUP(B97,$Q$1:$R$5,2,0)</f>
        <v>2</v>
      </c>
      <c r="D97" s="0" t="n">
        <v>2</v>
      </c>
      <c r="E97" s="0" t="s">
        <v>778</v>
      </c>
      <c r="F97" s="0" t="n">
        <f aca="false">VLOOKUP(E97,$Q$1:$R$5,2,0)</f>
        <v>2</v>
      </c>
      <c r="G97" s="0" t="n">
        <v>2</v>
      </c>
      <c r="H97" s="0" t="s">
        <v>779</v>
      </c>
      <c r="I97" s="0" t="s">
        <v>33</v>
      </c>
      <c r="J97" s="0" t="s">
        <v>33</v>
      </c>
      <c r="K97" s="0" t="s">
        <v>33</v>
      </c>
    </row>
    <row r="98" customFormat="false" ht="12.8" hidden="false" customHeight="false" outlineLevel="0" collapsed="false">
      <c r="A98" s="0" t="n">
        <v>69.046223</v>
      </c>
      <c r="B98" s="0" t="s">
        <v>777</v>
      </c>
      <c r="C98" s="0" t="n">
        <f aca="false">VLOOKUP(B98,$Q$1:$R$5,2,0)</f>
        <v>3</v>
      </c>
      <c r="D98" s="0" t="n">
        <v>1</v>
      </c>
      <c r="E98" s="0" t="s">
        <v>774</v>
      </c>
      <c r="F98" s="0" t="n">
        <f aca="false">VLOOKUP(E98,$Q$1:$R$5,2,0)</f>
        <v>1</v>
      </c>
      <c r="G98" s="0" t="n">
        <v>1</v>
      </c>
      <c r="I98" s="0" t="s">
        <v>234</v>
      </c>
      <c r="J98" s="0" t="s">
        <v>234</v>
      </c>
      <c r="K98" s="0" t="s">
        <v>234</v>
      </c>
    </row>
    <row r="99" customFormat="false" ht="12.8" hidden="false" customHeight="false" outlineLevel="0" collapsed="false">
      <c r="A99" s="0" t="n">
        <v>54.643254</v>
      </c>
      <c r="B99" s="0" t="s">
        <v>774</v>
      </c>
      <c r="C99" s="0" t="n">
        <f aca="false">VLOOKUP(B99,$Q$1:$R$5,2,0)</f>
        <v>1</v>
      </c>
      <c r="D99" s="0" t="n">
        <v>2</v>
      </c>
      <c r="E99" s="0" t="s">
        <v>774</v>
      </c>
      <c r="F99" s="0" t="n">
        <f aca="false">VLOOKUP(E99,$Q$1:$R$5,2,0)</f>
        <v>1</v>
      </c>
      <c r="G99" s="0" t="n">
        <v>0</v>
      </c>
      <c r="I99" s="0" t="s">
        <v>221</v>
      </c>
      <c r="J99" s="0" t="s">
        <v>221</v>
      </c>
      <c r="K99" s="0" t="s">
        <v>221</v>
      </c>
    </row>
    <row r="100" customFormat="false" ht="12.8" hidden="false" customHeight="false" outlineLevel="0" collapsed="false">
      <c r="A100" s="0" t="n">
        <v>77.4955</v>
      </c>
      <c r="B100" s="0" t="s">
        <v>776</v>
      </c>
      <c r="C100" s="0" t="n">
        <f aca="false">VLOOKUP(B100,$Q$1:$R$5,2,0)</f>
        <v>0</v>
      </c>
      <c r="D100" s="0" t="n">
        <v>2</v>
      </c>
      <c r="E100" s="0" t="s">
        <v>774</v>
      </c>
      <c r="F100" s="0" t="n">
        <f aca="false">VLOOKUP(E100,$Q$1:$R$5,2,0)</f>
        <v>1</v>
      </c>
      <c r="G100" s="0" t="n">
        <v>1</v>
      </c>
      <c r="H100" s="0" t="s">
        <v>798</v>
      </c>
      <c r="I100" s="0" t="s">
        <v>196</v>
      </c>
      <c r="J100" s="0" t="s">
        <v>196</v>
      </c>
      <c r="K100" s="0" t="s">
        <v>196</v>
      </c>
    </row>
    <row r="101" customFormat="false" ht="12.8" hidden="false" customHeight="false" outlineLevel="0" collapsed="false">
      <c r="A101" s="0" t="n">
        <v>67.836652</v>
      </c>
      <c r="B101" s="0" t="s">
        <v>774</v>
      </c>
      <c r="C101" s="0" t="n">
        <f aca="false">VLOOKUP(B101,$Q$1:$R$5,2,0)</f>
        <v>1</v>
      </c>
      <c r="D101" s="0" t="n">
        <v>1</v>
      </c>
      <c r="E101" s="0" t="s">
        <v>774</v>
      </c>
      <c r="F101" s="0" t="n">
        <f aca="false">VLOOKUP(E101,$Q$1:$R$5,2,0)</f>
        <v>1</v>
      </c>
      <c r="G101" s="0" t="n">
        <v>1</v>
      </c>
      <c r="H101" s="0" t="s">
        <v>779</v>
      </c>
      <c r="I101" s="0" t="s">
        <v>57</v>
      </c>
      <c r="J101" s="0" t="s">
        <v>57</v>
      </c>
      <c r="K101" s="0" t="s">
        <v>57</v>
      </c>
    </row>
    <row r="102" customFormat="false" ht="12.8" hidden="false" customHeight="false" outlineLevel="0" collapsed="false">
      <c r="A102" s="0" t="n">
        <v>87.044581</v>
      </c>
      <c r="B102" s="0" t="s">
        <v>774</v>
      </c>
      <c r="C102" s="0" t="n">
        <f aca="false">VLOOKUP(B102,$Q$1:$R$5,2,0)</f>
        <v>1</v>
      </c>
      <c r="D102" s="0" t="n">
        <v>0</v>
      </c>
      <c r="E102" s="0" t="s">
        <v>774</v>
      </c>
      <c r="F102" s="0" t="n">
        <f aca="false">VLOOKUP(E102,$Q$1:$R$5,2,0)</f>
        <v>1</v>
      </c>
      <c r="G102" s="0" t="n">
        <v>0</v>
      </c>
      <c r="I102" s="0" t="s">
        <v>43</v>
      </c>
      <c r="J102" s="0" t="s">
        <v>43</v>
      </c>
      <c r="K102" s="0" t="s">
        <v>43</v>
      </c>
    </row>
    <row r="103" customFormat="false" ht="12.8" hidden="false" customHeight="false" outlineLevel="0" collapsed="false">
      <c r="A103" s="0" t="n">
        <v>40.848199</v>
      </c>
      <c r="B103" s="0" t="s">
        <v>778</v>
      </c>
      <c r="C103" s="0" t="n">
        <f aca="false">VLOOKUP(B103,$Q$1:$R$5,2,0)</f>
        <v>2</v>
      </c>
      <c r="D103" s="0" t="n">
        <v>2</v>
      </c>
      <c r="E103" s="0" t="s">
        <v>774</v>
      </c>
      <c r="F103" s="0" t="n">
        <f aca="false">VLOOKUP(E103,$Q$1:$R$5,2,0)</f>
        <v>1</v>
      </c>
      <c r="G103" s="0" t="n">
        <v>0</v>
      </c>
      <c r="H103" s="0" t="s">
        <v>1</v>
      </c>
      <c r="I103" s="0" t="s">
        <v>143</v>
      </c>
      <c r="J103" s="0" t="s">
        <v>143</v>
      </c>
      <c r="K103" s="0" t="s">
        <v>143</v>
      </c>
    </row>
    <row r="104" customFormat="false" ht="12.8" hidden="false" customHeight="false" outlineLevel="0" collapsed="false">
      <c r="A104" s="0" t="n">
        <v>88.542786</v>
      </c>
      <c r="B104" s="0" t="s">
        <v>778</v>
      </c>
      <c r="C104" s="0" t="n">
        <f aca="false">VLOOKUP(B104,$Q$1:$R$5,2,0)</f>
        <v>2</v>
      </c>
      <c r="D104" s="0" t="n">
        <v>6</v>
      </c>
      <c r="E104" s="0" t="s">
        <v>778</v>
      </c>
      <c r="F104" s="0" t="n">
        <f aca="false">VLOOKUP(E104,$Q$1:$R$5,2,0)</f>
        <v>2</v>
      </c>
      <c r="G104" s="0" t="n">
        <v>2.5</v>
      </c>
      <c r="H104" s="0" t="s">
        <v>781</v>
      </c>
      <c r="I104" s="0" t="s">
        <v>204</v>
      </c>
      <c r="J104" s="0" t="s">
        <v>204</v>
      </c>
      <c r="K104" s="0" t="s">
        <v>204</v>
      </c>
    </row>
    <row r="105" customFormat="false" ht="12.8" hidden="false" customHeight="false" outlineLevel="0" collapsed="false">
      <c r="A105" s="0" t="n">
        <v>68.574354</v>
      </c>
      <c r="B105" s="0" t="s">
        <v>778</v>
      </c>
      <c r="C105" s="0" t="n">
        <f aca="false">VLOOKUP(B105,$Q$1:$R$5,2,0)</f>
        <v>2</v>
      </c>
      <c r="D105" s="0" t="n">
        <v>3</v>
      </c>
      <c r="E105" s="0" t="s">
        <v>778</v>
      </c>
      <c r="F105" s="0" t="n">
        <f aca="false">VLOOKUP(E105,$Q$1:$R$5,2,0)</f>
        <v>2</v>
      </c>
      <c r="G105" s="0" t="n">
        <v>3</v>
      </c>
      <c r="H105" s="0" t="s">
        <v>779</v>
      </c>
      <c r="I105" s="0" t="s">
        <v>91</v>
      </c>
      <c r="J105" s="0" t="s">
        <v>91</v>
      </c>
      <c r="K105" s="0" t="s">
        <v>91</v>
      </c>
    </row>
    <row r="106" customFormat="false" ht="12.8" hidden="false" customHeight="false" outlineLevel="0" collapsed="false">
      <c r="A106" s="0" t="n">
        <v>35.091807</v>
      </c>
      <c r="B106" s="0" t="s">
        <v>777</v>
      </c>
      <c r="C106" s="0" t="n">
        <f aca="false">VLOOKUP(B106,$Q$1:$R$5,2,0)</f>
        <v>3</v>
      </c>
      <c r="D106" s="0" t="n">
        <v>5</v>
      </c>
      <c r="E106" s="0" t="s">
        <v>777</v>
      </c>
      <c r="F106" s="0" t="n">
        <f aca="false">VLOOKUP(E106,$Q$1:$R$5,2,0)</f>
        <v>3</v>
      </c>
      <c r="G106" s="0" t="n">
        <v>1</v>
      </c>
      <c r="H106" s="0" t="s">
        <v>814</v>
      </c>
      <c r="I106" s="0" t="s">
        <v>69</v>
      </c>
      <c r="J106" s="0" t="s">
        <v>69</v>
      </c>
      <c r="K106" s="0" t="s">
        <v>69</v>
      </c>
    </row>
    <row r="107" customFormat="false" ht="12.8" hidden="false" customHeight="false" outlineLevel="0" collapsed="false">
      <c r="A107" s="0" t="n">
        <v>94.592359</v>
      </c>
      <c r="B107" s="0" t="s">
        <v>778</v>
      </c>
      <c r="C107" s="0" t="n">
        <f aca="false">VLOOKUP(B107,$Q$1:$R$5,2,0)</f>
        <v>2</v>
      </c>
      <c r="D107" s="0" t="n">
        <v>0</v>
      </c>
      <c r="E107" s="0" t="s">
        <v>774</v>
      </c>
      <c r="F107" s="0" t="n">
        <f aca="false">VLOOKUP(E107,$Q$1:$R$5,2,0)</f>
        <v>1</v>
      </c>
      <c r="G107" s="0" t="n">
        <v>2</v>
      </c>
      <c r="H107" s="0" t="s">
        <v>815</v>
      </c>
      <c r="I107" s="0" t="s">
        <v>186</v>
      </c>
      <c r="J107" s="0" t="s">
        <v>186</v>
      </c>
      <c r="K107" s="0" t="s">
        <v>186</v>
      </c>
    </row>
    <row r="108" customFormat="false" ht="12.8" hidden="false" customHeight="false" outlineLevel="0" collapsed="false">
      <c r="A108" s="0" t="n">
        <v>63.338868</v>
      </c>
      <c r="B108" s="0" t="s">
        <v>776</v>
      </c>
      <c r="C108" s="0" t="n">
        <f aca="false">VLOOKUP(B108,$Q$1:$R$5,2,0)</f>
        <v>0</v>
      </c>
      <c r="D108" s="0" t="n">
        <v>0</v>
      </c>
      <c r="E108" s="0" t="s">
        <v>776</v>
      </c>
      <c r="F108" s="0" t="n">
        <f aca="false">VLOOKUP(E108,$Q$1:$R$5,2,0)</f>
        <v>0</v>
      </c>
      <c r="G108" s="0" t="n">
        <v>0</v>
      </c>
      <c r="I108" s="0" t="s">
        <v>129</v>
      </c>
      <c r="J108" s="0" t="s">
        <v>129</v>
      </c>
      <c r="K108" s="0" t="s">
        <v>129</v>
      </c>
    </row>
    <row r="109" customFormat="false" ht="12.8" hidden="false" customHeight="false" outlineLevel="0" collapsed="false">
      <c r="A109" s="0" t="n">
        <v>69.705932</v>
      </c>
      <c r="B109" s="0" t="s">
        <v>774</v>
      </c>
      <c r="C109" s="0" t="n">
        <f aca="false">VLOOKUP(B109,$Q$1:$R$5,2,0)</f>
        <v>1</v>
      </c>
      <c r="D109" s="0" t="n">
        <v>1</v>
      </c>
      <c r="E109" s="0" t="s">
        <v>776</v>
      </c>
      <c r="F109" s="0" t="n">
        <f aca="false">VLOOKUP(E109,$Q$1:$R$5,2,0)</f>
        <v>0</v>
      </c>
      <c r="G109" s="0" t="n">
        <v>1</v>
      </c>
      <c r="H109" s="0" t="s">
        <v>794</v>
      </c>
      <c r="I109" s="0" t="s">
        <v>239</v>
      </c>
      <c r="J109" s="0" t="s">
        <v>239</v>
      </c>
      <c r="K109" s="0" t="s">
        <v>239</v>
      </c>
    </row>
    <row r="110" customFormat="false" ht="12.8" hidden="false" customHeight="false" outlineLevel="0" collapsed="false">
      <c r="A110" s="0" t="n">
        <v>62.585778</v>
      </c>
      <c r="B110" s="0" t="s">
        <v>776</v>
      </c>
      <c r="C110" s="0" t="n">
        <f aca="false">VLOOKUP(B110,$Q$1:$R$5,2,0)</f>
        <v>0</v>
      </c>
      <c r="D110" s="0" t="n">
        <v>3</v>
      </c>
      <c r="E110" s="0" t="s">
        <v>776</v>
      </c>
      <c r="F110" s="0" t="n">
        <f aca="false">VLOOKUP(E110,$Q$1:$R$5,2,0)</f>
        <v>0</v>
      </c>
      <c r="G110" s="0" t="n">
        <v>0</v>
      </c>
      <c r="I110" s="0" t="s">
        <v>180</v>
      </c>
      <c r="J110" s="0" t="s">
        <v>180</v>
      </c>
      <c r="K110" s="0" t="s">
        <v>180</v>
      </c>
    </row>
    <row r="111" customFormat="false" ht="12.8" hidden="false" customHeight="false" outlineLevel="0" collapsed="false">
      <c r="A111" s="0" t="n">
        <v>83.673529</v>
      </c>
      <c r="B111" s="0" t="s">
        <v>778</v>
      </c>
      <c r="C111" s="0" t="n">
        <f aca="false">VLOOKUP(B111,$Q$1:$R$5,2,0)</f>
        <v>2</v>
      </c>
      <c r="D111" s="0" t="n">
        <v>2</v>
      </c>
      <c r="E111" s="0" t="s">
        <v>776</v>
      </c>
      <c r="F111" s="0" t="n">
        <f aca="false">VLOOKUP(E111,$Q$1:$R$5,2,0)</f>
        <v>0</v>
      </c>
      <c r="G111" s="0" t="n">
        <v>0</v>
      </c>
      <c r="I111" s="0" t="s">
        <v>188</v>
      </c>
      <c r="J111" s="0" t="s">
        <v>188</v>
      </c>
      <c r="K111" s="0" t="s">
        <v>188</v>
      </c>
    </row>
    <row r="112" customFormat="false" ht="12.8" hidden="false" customHeight="false" outlineLevel="0" collapsed="false">
      <c r="A112" s="0" t="n">
        <v>10.28721</v>
      </c>
      <c r="B112" s="0" t="s">
        <v>776</v>
      </c>
      <c r="C112" s="0" t="n">
        <f aca="false">VLOOKUP(B112,$Q$1:$R$5,2,0)</f>
        <v>0</v>
      </c>
      <c r="D112" s="0" t="n">
        <v>0</v>
      </c>
      <c r="E112" s="0" t="s">
        <v>776</v>
      </c>
      <c r="F112" s="0" t="n">
        <f aca="false">VLOOKUP(E112,$Q$1:$R$5,2,0)</f>
        <v>0</v>
      </c>
      <c r="G112" s="0" t="n">
        <v>0</v>
      </c>
      <c r="I112" s="0" t="s">
        <v>227</v>
      </c>
      <c r="J112" s="0" t="s">
        <v>227</v>
      </c>
      <c r="K112" s="0" t="s">
        <v>227</v>
      </c>
    </row>
    <row r="113" customFormat="false" ht="12.8" hidden="false" customHeight="false" outlineLevel="0" collapsed="false">
      <c r="A113" s="0" t="n">
        <v>93.018339</v>
      </c>
      <c r="B113" s="0" t="s">
        <v>774</v>
      </c>
      <c r="C113" s="0" t="n">
        <f aca="false">VLOOKUP(B113,$Q$1:$R$5,2,0)</f>
        <v>1</v>
      </c>
      <c r="D113" s="0" t="n">
        <v>9</v>
      </c>
      <c r="E113" s="0" t="s">
        <v>774</v>
      </c>
      <c r="F113" s="0" t="n">
        <f aca="false">VLOOKUP(E113,$Q$1:$R$5,2,0)</f>
        <v>1</v>
      </c>
      <c r="G113" s="0" t="n">
        <v>0.5</v>
      </c>
      <c r="H113" s="0" t="s">
        <v>816</v>
      </c>
      <c r="I113" s="0" t="s">
        <v>228</v>
      </c>
      <c r="J113" s="0" t="s">
        <v>228</v>
      </c>
      <c r="K113" s="0" t="s">
        <v>228</v>
      </c>
    </row>
    <row r="114" customFormat="false" ht="12.8" hidden="false" customHeight="false" outlineLevel="0" collapsed="false">
      <c r="A114" s="0" t="n">
        <v>19.00066</v>
      </c>
      <c r="B114" s="0" t="s">
        <v>776</v>
      </c>
      <c r="C114" s="0" t="n">
        <f aca="false">VLOOKUP(B114,$Q$1:$R$5,2,0)</f>
        <v>0</v>
      </c>
      <c r="D114" s="0" t="n">
        <v>0</v>
      </c>
      <c r="E114" s="0" t="s">
        <v>776</v>
      </c>
      <c r="F114" s="0" t="n">
        <f aca="false">VLOOKUP(E114,$Q$1:$R$5,2,0)</f>
        <v>0</v>
      </c>
      <c r="G114" s="0" t="n">
        <v>0</v>
      </c>
      <c r="H114" s="0" t="n">
        <v>0</v>
      </c>
      <c r="I114" s="0" t="s">
        <v>29</v>
      </c>
      <c r="J114" s="0" t="s">
        <v>29</v>
      </c>
      <c r="K114" s="0" t="s">
        <v>29</v>
      </c>
    </row>
    <row r="115" customFormat="false" ht="12.8" hidden="false" customHeight="false" outlineLevel="0" collapsed="false">
      <c r="A115" s="0" t="n">
        <v>34.349926</v>
      </c>
      <c r="B115" s="0" t="s">
        <v>776</v>
      </c>
      <c r="C115" s="0" t="n">
        <f aca="false">VLOOKUP(B115,$Q$1:$R$5,2,0)</f>
        <v>0</v>
      </c>
      <c r="D115" s="0" t="n">
        <v>0</v>
      </c>
      <c r="E115" s="0" t="s">
        <v>776</v>
      </c>
      <c r="F115" s="0" t="n">
        <f aca="false">VLOOKUP(E115,$Q$1:$R$5,2,0)</f>
        <v>0</v>
      </c>
      <c r="G115" s="0" t="n">
        <v>0</v>
      </c>
      <c r="H115" s="0" t="s">
        <v>794</v>
      </c>
      <c r="I115" s="0" t="s">
        <v>183</v>
      </c>
      <c r="J115" s="0" t="s">
        <v>183</v>
      </c>
      <c r="K115" s="0" t="s">
        <v>183</v>
      </c>
    </row>
    <row r="116" customFormat="false" ht="12.8" hidden="false" customHeight="false" outlineLevel="0" collapsed="false">
      <c r="A116" s="0" t="n">
        <v>108.144546</v>
      </c>
      <c r="B116" s="0" t="s">
        <v>778</v>
      </c>
      <c r="C116" s="0" t="n">
        <f aca="false">VLOOKUP(B116,$Q$1:$R$5,2,0)</f>
        <v>2</v>
      </c>
      <c r="D116" s="0" t="n">
        <v>0</v>
      </c>
      <c r="E116" s="0" t="s">
        <v>778</v>
      </c>
      <c r="F116" s="0" t="n">
        <f aca="false">VLOOKUP(E116,$Q$1:$R$5,2,0)</f>
        <v>2</v>
      </c>
      <c r="G116" s="0" t="n">
        <v>0</v>
      </c>
      <c r="H116" s="0" t="s">
        <v>815</v>
      </c>
      <c r="I116" s="0" t="s">
        <v>152</v>
      </c>
      <c r="J116" s="0" t="s">
        <v>152</v>
      </c>
      <c r="K116" s="0" t="s">
        <v>152</v>
      </c>
    </row>
    <row r="117" customFormat="false" ht="12.8" hidden="false" customHeight="false" outlineLevel="0" collapsed="false">
      <c r="A117" s="0" t="n">
        <v>75.080378</v>
      </c>
      <c r="B117" s="0" t="s">
        <v>780</v>
      </c>
      <c r="C117" s="0" t="n">
        <f aca="false">VLOOKUP(B117,$Q$1:$R$5,2,0)</f>
        <v>4</v>
      </c>
      <c r="D117" s="0" t="n">
        <v>2</v>
      </c>
      <c r="E117" s="0" t="s">
        <v>780</v>
      </c>
      <c r="F117" s="0" t="n">
        <f aca="false">VLOOKUP(E117,$Q$1:$R$5,2,0)</f>
        <v>4</v>
      </c>
      <c r="G117" s="0" t="n">
        <v>2</v>
      </c>
      <c r="H117" s="0" t="s">
        <v>817</v>
      </c>
      <c r="I117" s="0" t="s">
        <v>84</v>
      </c>
      <c r="J117" s="0" t="s">
        <v>84</v>
      </c>
      <c r="K117" s="0" t="s">
        <v>84</v>
      </c>
    </row>
    <row r="118" customFormat="false" ht="12.8" hidden="false" customHeight="false" outlineLevel="0" collapsed="false">
      <c r="A118" s="0" t="n">
        <v>32.683046</v>
      </c>
      <c r="B118" s="0" t="s">
        <v>780</v>
      </c>
      <c r="C118" s="0" t="n">
        <f aca="false">VLOOKUP(B118,$Q$1:$R$5,2,0)</f>
        <v>4</v>
      </c>
      <c r="D118" s="0" t="n">
        <v>2</v>
      </c>
      <c r="E118" s="0" t="s">
        <v>780</v>
      </c>
      <c r="F118" s="0" t="n">
        <f aca="false">VLOOKUP(E118,$Q$1:$R$5,2,0)</f>
        <v>4</v>
      </c>
      <c r="G118" s="0" t="n">
        <v>0</v>
      </c>
      <c r="H118" s="0" t="n">
        <v>0</v>
      </c>
      <c r="I118" s="0" t="s">
        <v>37</v>
      </c>
      <c r="J118" s="0" t="s">
        <v>37</v>
      </c>
      <c r="K118" s="0" t="s">
        <v>37</v>
      </c>
    </row>
    <row r="119" customFormat="false" ht="12.8" hidden="false" customHeight="false" outlineLevel="0" collapsed="false">
      <c r="A119" s="0" t="n">
        <v>50.706463</v>
      </c>
      <c r="B119" s="0" t="s">
        <v>778</v>
      </c>
      <c r="C119" s="0" t="n">
        <f aca="false">VLOOKUP(B119,$Q$1:$R$5,2,0)</f>
        <v>2</v>
      </c>
      <c r="D119" s="0" t="n">
        <v>0</v>
      </c>
      <c r="E119" s="0" t="s">
        <v>780</v>
      </c>
      <c r="F119" s="0" t="n">
        <f aca="false">VLOOKUP(E119,$Q$1:$R$5,2,0)</f>
        <v>4</v>
      </c>
      <c r="G119" s="0" t="n">
        <v>0</v>
      </c>
      <c r="I119" s="0" t="s">
        <v>78</v>
      </c>
      <c r="J119" s="0" t="s">
        <v>78</v>
      </c>
      <c r="K119" s="0" t="s">
        <v>78</v>
      </c>
    </row>
    <row r="120" customFormat="false" ht="12.8" hidden="false" customHeight="false" outlineLevel="0" collapsed="false">
      <c r="A120" s="0" t="n">
        <v>76.037848</v>
      </c>
      <c r="B120" s="0" t="s">
        <v>778</v>
      </c>
      <c r="C120" s="0" t="n">
        <f aca="false">VLOOKUP(B120,$Q$1:$R$5,2,0)</f>
        <v>2</v>
      </c>
      <c r="D120" s="0" t="n">
        <v>4</v>
      </c>
      <c r="E120" s="0" t="s">
        <v>778</v>
      </c>
      <c r="F120" s="0" t="n">
        <f aca="false">VLOOKUP(E120,$Q$1:$R$5,2,0)</f>
        <v>2</v>
      </c>
      <c r="G120" s="0" t="n">
        <v>4</v>
      </c>
      <c r="H120" s="0" t="s">
        <v>779</v>
      </c>
      <c r="I120" s="0" t="s">
        <v>58</v>
      </c>
      <c r="J120" s="0" t="s">
        <v>58</v>
      </c>
      <c r="K120" s="0" t="s">
        <v>58</v>
      </c>
    </row>
    <row r="121" customFormat="false" ht="12.8" hidden="false" customHeight="false" outlineLevel="0" collapsed="false">
      <c r="A121" s="0" t="n">
        <v>104.474408</v>
      </c>
      <c r="B121" s="0" t="s">
        <v>780</v>
      </c>
      <c r="C121" s="0" t="n">
        <f aca="false">VLOOKUP(B121,$Q$1:$R$5,2,0)</f>
        <v>4</v>
      </c>
      <c r="D121" s="0" t="n">
        <v>7</v>
      </c>
      <c r="E121" s="0" t="s">
        <v>777</v>
      </c>
      <c r="F121" s="0" t="n">
        <f aca="false">VLOOKUP(E121,$Q$1:$R$5,2,0)</f>
        <v>3</v>
      </c>
      <c r="G121" s="0" t="n">
        <v>3</v>
      </c>
      <c r="H121" s="0" t="s">
        <v>779</v>
      </c>
      <c r="I121" s="0" t="s">
        <v>113</v>
      </c>
      <c r="J121" s="0" t="s">
        <v>113</v>
      </c>
      <c r="K121" s="0" t="s">
        <v>113</v>
      </c>
    </row>
    <row r="122" customFormat="false" ht="12.8" hidden="false" customHeight="false" outlineLevel="0" collapsed="false">
      <c r="A122" s="0" t="n">
        <v>138.95139</v>
      </c>
      <c r="B122" s="0" t="s">
        <v>778</v>
      </c>
      <c r="C122" s="0" t="n">
        <f aca="false">VLOOKUP(B122,$Q$1:$R$5,2,0)</f>
        <v>2</v>
      </c>
      <c r="D122" s="0" t="n">
        <v>0</v>
      </c>
      <c r="E122" s="0" t="s">
        <v>774</v>
      </c>
      <c r="F122" s="0" t="n">
        <f aca="false">VLOOKUP(E122,$Q$1:$R$5,2,0)</f>
        <v>1</v>
      </c>
      <c r="G122" s="0" t="n">
        <v>0</v>
      </c>
      <c r="H122" s="0" t="s">
        <v>779</v>
      </c>
      <c r="I122" s="0" t="s">
        <v>226</v>
      </c>
      <c r="J122" s="0" t="s">
        <v>226</v>
      </c>
      <c r="K122" s="0" t="s">
        <v>226</v>
      </c>
    </row>
    <row r="123" customFormat="false" ht="12.8" hidden="false" customHeight="false" outlineLevel="0" collapsed="false">
      <c r="A123" s="0" t="n">
        <v>55.170515</v>
      </c>
      <c r="B123" s="0" t="s">
        <v>780</v>
      </c>
      <c r="C123" s="0" t="n">
        <f aca="false">VLOOKUP(B123,$Q$1:$R$5,2,0)</f>
        <v>4</v>
      </c>
      <c r="D123" s="0" t="n">
        <v>5</v>
      </c>
      <c r="E123" s="0" t="s">
        <v>776</v>
      </c>
      <c r="F123" s="0" t="n">
        <f aca="false">VLOOKUP(E123,$Q$1:$R$5,2,0)</f>
        <v>0</v>
      </c>
      <c r="G123" s="0" t="n">
        <v>0</v>
      </c>
      <c r="H123" s="0" t="s">
        <v>787</v>
      </c>
      <c r="I123" s="0" t="s">
        <v>245</v>
      </c>
      <c r="J123" s="0" t="s">
        <v>245</v>
      </c>
      <c r="K123" s="0" t="s">
        <v>245</v>
      </c>
    </row>
    <row r="124" customFormat="false" ht="12.8" hidden="false" customHeight="false" outlineLevel="0" collapsed="false">
      <c r="A124" s="0" t="n">
        <v>76.441441</v>
      </c>
      <c r="B124" s="0" t="s">
        <v>774</v>
      </c>
      <c r="C124" s="0" t="n">
        <f aca="false">VLOOKUP(B124,$Q$1:$R$5,2,0)</f>
        <v>1</v>
      </c>
      <c r="D124" s="0" t="n">
        <v>0</v>
      </c>
      <c r="E124" s="0" t="s">
        <v>776</v>
      </c>
      <c r="F124" s="0" t="n">
        <f aca="false">VLOOKUP(E124,$Q$1:$R$5,2,0)</f>
        <v>0</v>
      </c>
      <c r="G124" s="0" t="n">
        <v>0</v>
      </c>
      <c r="H124" s="0" t="s">
        <v>818</v>
      </c>
      <c r="I124" s="0" t="s">
        <v>200</v>
      </c>
      <c r="J124" s="0" t="s">
        <v>200</v>
      </c>
      <c r="K124" s="0" t="s">
        <v>200</v>
      </c>
    </row>
    <row r="125" customFormat="false" ht="12.8" hidden="false" customHeight="false" outlineLevel="0" collapsed="false">
      <c r="A125" s="0" t="n">
        <v>99.437269</v>
      </c>
      <c r="B125" s="0" t="s">
        <v>776</v>
      </c>
      <c r="C125" s="0" t="n">
        <f aca="false">VLOOKUP(B125,$Q$1:$R$5,2,0)</f>
        <v>0</v>
      </c>
      <c r="D125" s="0" t="n">
        <v>0</v>
      </c>
      <c r="E125" s="0" t="s">
        <v>776</v>
      </c>
      <c r="F125" s="0" t="n">
        <f aca="false">VLOOKUP(E125,$Q$1:$R$5,2,0)</f>
        <v>0</v>
      </c>
      <c r="G125" s="0" t="n">
        <v>0</v>
      </c>
      <c r="I125" s="0" t="s">
        <v>218</v>
      </c>
      <c r="J125" s="0" t="s">
        <v>218</v>
      </c>
      <c r="K125" s="0" t="s">
        <v>218</v>
      </c>
    </row>
    <row r="126" customFormat="false" ht="12.8" hidden="false" customHeight="false" outlineLevel="0" collapsed="false">
      <c r="A126" s="0" t="n">
        <v>75.426458</v>
      </c>
      <c r="B126" s="0" t="s">
        <v>778</v>
      </c>
      <c r="C126" s="0" t="n">
        <f aca="false">VLOOKUP(B126,$Q$1:$R$5,2,0)</f>
        <v>2</v>
      </c>
      <c r="D126" s="0" t="n">
        <v>3</v>
      </c>
      <c r="E126" s="0" t="s">
        <v>774</v>
      </c>
      <c r="F126" s="0" t="n">
        <f aca="false">VLOOKUP(E126,$Q$1:$R$5,2,0)</f>
        <v>1</v>
      </c>
      <c r="G126" s="0" t="n">
        <v>2</v>
      </c>
      <c r="I126" s="0" t="s">
        <v>107</v>
      </c>
      <c r="J126" s="0" t="s">
        <v>107</v>
      </c>
      <c r="K126" s="0" t="s">
        <v>107</v>
      </c>
    </row>
    <row r="127" customFormat="false" ht="12.8" hidden="false" customHeight="false" outlineLevel="0" collapsed="false">
      <c r="A127" s="0" t="n">
        <v>14.193783</v>
      </c>
      <c r="B127" s="0" t="s">
        <v>778</v>
      </c>
      <c r="C127" s="0" t="n">
        <f aca="false">VLOOKUP(B127,$Q$1:$R$5,2,0)</f>
        <v>2</v>
      </c>
      <c r="D127" s="0" t="n">
        <v>0</v>
      </c>
      <c r="E127" s="0" t="s">
        <v>778</v>
      </c>
      <c r="F127" s="0" t="n">
        <f aca="false">VLOOKUP(E127,$Q$1:$R$5,2,0)</f>
        <v>2</v>
      </c>
      <c r="G127" s="0" t="n">
        <v>0</v>
      </c>
      <c r="I127" s="0" t="s">
        <v>67</v>
      </c>
      <c r="J127" s="0" t="s">
        <v>67</v>
      </c>
      <c r="K127" s="0" t="s">
        <v>67</v>
      </c>
    </row>
    <row r="128" customFormat="false" ht="12.8" hidden="false" customHeight="false" outlineLevel="0" collapsed="false">
      <c r="A128" s="0" t="n">
        <v>44.55013</v>
      </c>
      <c r="B128" s="0" t="s">
        <v>774</v>
      </c>
      <c r="C128" s="0" t="n">
        <f aca="false">VLOOKUP(B128,$Q$1:$R$5,2,0)</f>
        <v>1</v>
      </c>
      <c r="D128" s="0" t="n">
        <v>0</v>
      </c>
      <c r="E128" s="0" t="s">
        <v>776</v>
      </c>
      <c r="F128" s="0" t="n">
        <f aca="false">VLOOKUP(E128,$Q$1:$R$5,2,0)</f>
        <v>0</v>
      </c>
      <c r="G128" s="0" t="n">
        <v>0</v>
      </c>
      <c r="H128" s="0" t="s">
        <v>794</v>
      </c>
      <c r="I128" s="0" t="s">
        <v>165</v>
      </c>
      <c r="J128" s="0" t="s">
        <v>165</v>
      </c>
      <c r="K128" s="0" t="s">
        <v>165</v>
      </c>
    </row>
    <row r="129" customFormat="false" ht="12.8" hidden="false" customHeight="false" outlineLevel="0" collapsed="false">
      <c r="A129" s="0" t="n">
        <v>40.358458</v>
      </c>
      <c r="B129" s="0" t="s">
        <v>780</v>
      </c>
      <c r="C129" s="0" t="n">
        <f aca="false">VLOOKUP(B129,$Q$1:$R$5,2,0)</f>
        <v>4</v>
      </c>
      <c r="D129" s="0" t="n">
        <v>12</v>
      </c>
      <c r="E129" s="0" t="s">
        <v>776</v>
      </c>
      <c r="F129" s="0" t="n">
        <f aca="false">VLOOKUP(E129,$Q$1:$R$5,2,0)</f>
        <v>0</v>
      </c>
      <c r="G129" s="0" t="n">
        <v>0</v>
      </c>
      <c r="H129" s="0" t="s">
        <v>794</v>
      </c>
      <c r="I129" s="0" t="s">
        <v>85</v>
      </c>
      <c r="J129" s="0" t="s">
        <v>85</v>
      </c>
      <c r="K129" s="0" t="s">
        <v>85</v>
      </c>
    </row>
    <row r="130" customFormat="false" ht="12.8" hidden="false" customHeight="false" outlineLevel="0" collapsed="false">
      <c r="A130" s="0" t="n">
        <v>46.521099</v>
      </c>
      <c r="B130" s="0" t="s">
        <v>778</v>
      </c>
      <c r="C130" s="0" t="n">
        <f aca="false">VLOOKUP(B130,$Q$1:$R$5,2,0)</f>
        <v>2</v>
      </c>
      <c r="D130" s="0" t="n">
        <v>0</v>
      </c>
      <c r="E130" s="0" t="s">
        <v>778</v>
      </c>
      <c r="F130" s="0" t="n">
        <f aca="false">VLOOKUP(E130,$Q$1:$R$5,2,0)</f>
        <v>2</v>
      </c>
      <c r="G130" s="0" t="n">
        <v>0</v>
      </c>
      <c r="H130" s="0" t="s">
        <v>775</v>
      </c>
      <c r="I130" s="0" t="s">
        <v>144</v>
      </c>
      <c r="J130" s="0" t="s">
        <v>144</v>
      </c>
      <c r="K130" s="0" t="s">
        <v>144</v>
      </c>
    </row>
    <row r="131" customFormat="false" ht="12.8" hidden="false" customHeight="false" outlineLevel="0" collapsed="false">
      <c r="A131" s="0" t="n">
        <v>15.210212</v>
      </c>
      <c r="B131" s="0" t="s">
        <v>774</v>
      </c>
      <c r="C131" s="0" t="n">
        <f aca="false">VLOOKUP(B131,$Q$1:$R$5,2,0)</f>
        <v>1</v>
      </c>
      <c r="D131" s="0" t="n">
        <v>0</v>
      </c>
      <c r="E131" s="0" t="s">
        <v>774</v>
      </c>
      <c r="F131" s="0" t="n">
        <f aca="false">VLOOKUP(E131,$Q$1:$R$5,2,0)</f>
        <v>1</v>
      </c>
      <c r="G131" s="0" t="n">
        <v>0</v>
      </c>
      <c r="I131" s="0" t="s">
        <v>99</v>
      </c>
      <c r="J131" s="0" t="s">
        <v>99</v>
      </c>
      <c r="K131" s="0" t="s">
        <v>99</v>
      </c>
    </row>
    <row r="132" customFormat="false" ht="12.8" hidden="false" customHeight="false" outlineLevel="0" collapsed="false">
      <c r="A132" s="0" t="n">
        <v>71.258502</v>
      </c>
      <c r="B132" s="0" t="s">
        <v>776</v>
      </c>
      <c r="C132" s="0" t="n">
        <f aca="false">VLOOKUP(B132,$Q$1:$R$5,2,0)</f>
        <v>0</v>
      </c>
      <c r="D132" s="0" t="n">
        <v>0</v>
      </c>
      <c r="E132" s="0" t="s">
        <v>776</v>
      </c>
      <c r="F132" s="0" t="n">
        <f aca="false">VLOOKUP(E132,$Q$1:$R$5,2,0)</f>
        <v>0</v>
      </c>
      <c r="G132" s="0" t="n">
        <v>0</v>
      </c>
      <c r="H132" s="0" t="n">
        <v>0</v>
      </c>
      <c r="I132" s="0" t="s">
        <v>20</v>
      </c>
      <c r="J132" s="0" t="s">
        <v>20</v>
      </c>
      <c r="K132" s="0" t="s">
        <v>20</v>
      </c>
    </row>
    <row r="133" customFormat="false" ht="12.8" hidden="false" customHeight="false" outlineLevel="0" collapsed="false">
      <c r="A133" s="0" t="n">
        <v>35.936942</v>
      </c>
      <c r="B133" s="0" t="s">
        <v>776</v>
      </c>
      <c r="C133" s="0" t="n">
        <f aca="false">VLOOKUP(B133,$Q$1:$R$5,2,0)</f>
        <v>0</v>
      </c>
      <c r="D133" s="0" t="n">
        <v>0</v>
      </c>
      <c r="E133" s="0" t="s">
        <v>776</v>
      </c>
      <c r="F133" s="0" t="n">
        <f aca="false">VLOOKUP(E133,$Q$1:$R$5,2,0)</f>
        <v>0</v>
      </c>
      <c r="G133" s="0" t="n">
        <v>0</v>
      </c>
      <c r="I133" s="0" t="s">
        <v>38</v>
      </c>
      <c r="J133" s="0" t="s">
        <v>38</v>
      </c>
      <c r="K133" s="0" t="s">
        <v>38</v>
      </c>
    </row>
    <row r="134" customFormat="false" ht="12.8" hidden="false" customHeight="false" outlineLevel="0" collapsed="false">
      <c r="A134" s="0" t="n">
        <v>82.397001</v>
      </c>
      <c r="B134" s="0" t="s">
        <v>776</v>
      </c>
      <c r="C134" s="0" t="n">
        <f aca="false">VLOOKUP(B134,$Q$1:$R$5,2,0)</f>
        <v>0</v>
      </c>
      <c r="D134" s="0" t="n">
        <v>0</v>
      </c>
      <c r="E134" s="0" t="s">
        <v>774</v>
      </c>
      <c r="F134" s="0" t="n">
        <f aca="false">VLOOKUP(E134,$Q$1:$R$5,2,0)</f>
        <v>1</v>
      </c>
      <c r="G134" s="0" t="n">
        <v>0.25</v>
      </c>
      <c r="H134" s="0" t="s">
        <v>781</v>
      </c>
      <c r="I134" s="0" t="s">
        <v>216</v>
      </c>
      <c r="J134" s="0" t="s">
        <v>216</v>
      </c>
      <c r="K134" s="0" t="s">
        <v>216</v>
      </c>
    </row>
    <row r="135" customFormat="false" ht="12.8" hidden="false" customHeight="false" outlineLevel="0" collapsed="false">
      <c r="A135" s="0" t="n">
        <v>32.577468</v>
      </c>
      <c r="B135" s="0" t="s">
        <v>776</v>
      </c>
      <c r="C135" s="0" t="n">
        <f aca="false">VLOOKUP(B135,$Q$1:$R$5,2,0)</f>
        <v>0</v>
      </c>
      <c r="D135" s="0" t="n">
        <v>0</v>
      </c>
      <c r="E135" s="0" t="s">
        <v>776</v>
      </c>
      <c r="F135" s="0" t="n">
        <f aca="false">VLOOKUP(E135,$Q$1:$R$5,2,0)</f>
        <v>0</v>
      </c>
      <c r="G135" s="0" t="n">
        <v>0</v>
      </c>
      <c r="H135" s="0" t="s">
        <v>819</v>
      </c>
      <c r="I135" s="0" t="s">
        <v>53</v>
      </c>
      <c r="J135" s="0" t="s">
        <v>53</v>
      </c>
      <c r="K135" s="0" t="s">
        <v>53</v>
      </c>
    </row>
    <row r="136" customFormat="false" ht="12.8" hidden="false" customHeight="false" outlineLevel="0" collapsed="false">
      <c r="A136" s="0" t="n">
        <v>110.484809</v>
      </c>
      <c r="B136" s="0" t="s">
        <v>774</v>
      </c>
      <c r="C136" s="0" t="n">
        <f aca="false">VLOOKUP(B136,$Q$1:$R$5,2,0)</f>
        <v>1</v>
      </c>
      <c r="D136" s="0" t="n">
        <v>1.5</v>
      </c>
      <c r="E136" s="0" t="s">
        <v>776</v>
      </c>
      <c r="F136" s="0" t="n">
        <f aca="false">VLOOKUP(E136,$Q$1:$R$5,2,0)</f>
        <v>0</v>
      </c>
      <c r="G136" s="0" t="n">
        <v>0</v>
      </c>
      <c r="H136" s="0" t="s">
        <v>1</v>
      </c>
      <c r="I136" s="0" t="s">
        <v>189</v>
      </c>
      <c r="J136" s="0" t="s">
        <v>189</v>
      </c>
      <c r="K136" s="0" t="s">
        <v>189</v>
      </c>
    </row>
    <row r="137" customFormat="false" ht="12.8" hidden="false" customHeight="false" outlineLevel="0" collapsed="false">
      <c r="C137" s="4" t="n">
        <f aca="false">SUM(C1:C136)/136</f>
        <v>1.63970588235294</v>
      </c>
      <c r="D137" s="4" t="n">
        <f aca="false">SUM(D1:D136)/136</f>
        <v>2.25735294117647</v>
      </c>
      <c r="F137" s="4" t="n">
        <f aca="false">SUM(F1:F136)/136</f>
        <v>1.16176470588235</v>
      </c>
      <c r="G137" s="4" t="n">
        <f aca="false">SUM(G1:G136)/136</f>
        <v>1.19669117647059</v>
      </c>
    </row>
    <row r="138" customFormat="false" ht="81.3" hidden="false" customHeight="false" outlineLevel="0" collapsed="false">
      <c r="B138" s="5" t="s">
        <v>820</v>
      </c>
      <c r="C138" s="6"/>
      <c r="D138" s="5" t="s">
        <v>821</v>
      </c>
      <c r="E138" s="5" t="s">
        <v>822</v>
      </c>
      <c r="F138" s="6"/>
      <c r="G138" s="5" t="s">
        <v>823</v>
      </c>
      <c r="H138" s="5" t="s">
        <v>824</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7"/>
  <sheetViews>
    <sheetView showFormulas="false" showGridLines="true" showRowColHeaders="true" showZeros="true" rightToLeft="false" tabSelected="true" showOutlineSymbols="true" defaultGridColor="true" view="normal" topLeftCell="A1" colorId="64" zoomScale="160" zoomScaleNormal="160" zoomScalePageLayoutView="100" workbookViewId="0">
      <selection pane="topLeft" activeCell="O17" activeCellId="0" sqref="O17"/>
    </sheetView>
  </sheetViews>
  <sheetFormatPr defaultColWidth="11.53515625" defaultRowHeight="12.8" customHeight="true" zeroHeight="false" outlineLevelRow="0" outlineLevelCol="0"/>
  <cols>
    <col collapsed="false" customWidth="true" hidden="false" outlineLevel="0" max="1" min="1" style="0" width="4.17"/>
    <col collapsed="false" customWidth="true" hidden="false" outlineLevel="0" max="2" min="2" style="0" width="3.94"/>
    <col collapsed="false" customWidth="true" hidden="false" outlineLevel="0" max="3" min="3" style="0" width="13.02"/>
    <col collapsed="false" customWidth="true" hidden="false" outlineLevel="0" max="4" min="4" style="0" width="10.55"/>
    <col collapsed="false" customWidth="true" hidden="false" outlineLevel="0" max="6" min="6" style="7" width="4.56"/>
    <col collapsed="false" customWidth="true" hidden="false" outlineLevel="0" max="7" min="7" style="0" width="8.11"/>
    <col collapsed="false" customWidth="true" hidden="false" outlineLevel="0" max="8" min="8" style="0" width="10.68"/>
    <col collapsed="false" customWidth="true" hidden="false" outlineLevel="0" max="10" min="10" style="7" width="4.56"/>
    <col collapsed="false" customWidth="true" hidden="false" outlineLevel="0" max="11" min="11" style="0" width="8.46"/>
    <col collapsed="false" customWidth="true" hidden="false" outlineLevel="0" max="12" min="12" style="0" width="10.68"/>
    <col collapsed="false" customWidth="true" hidden="false" outlineLevel="0" max="14" min="14" style="7" width="4.56"/>
    <col collapsed="false" customWidth="true" hidden="false" outlineLevel="0" max="15" min="15" style="0" width="9.29"/>
    <col collapsed="false" customWidth="true" hidden="false" outlineLevel="0" max="16" min="16" style="0" width="10.68"/>
  </cols>
  <sheetData>
    <row r="1" customFormat="false" ht="12.8" hidden="false" customHeight="false" outlineLevel="0" collapsed="false">
      <c r="G1" s="8" t="s">
        <v>825</v>
      </c>
      <c r="H1" s="8"/>
      <c r="J1" s="9"/>
      <c r="K1" s="8" t="s">
        <v>826</v>
      </c>
      <c r="L1" s="8"/>
      <c r="O1" s="8" t="s">
        <v>827</v>
      </c>
    </row>
    <row r="2" customFormat="false" ht="12.8" hidden="false" customHeight="false" outlineLevel="0" collapsed="false">
      <c r="A2" s="10" t="s">
        <v>828</v>
      </c>
      <c r="B2" s="10" t="s">
        <v>829</v>
      </c>
      <c r="C2" s="10" t="s">
        <v>830</v>
      </c>
      <c r="D2" s="10"/>
      <c r="E2" s="11" t="s">
        <v>830</v>
      </c>
      <c r="F2" s="9" t="s">
        <v>831</v>
      </c>
      <c r="G2" s="8" t="s">
        <v>828</v>
      </c>
      <c r="H2" s="8" t="s">
        <v>829</v>
      </c>
      <c r="I2" s="8" t="s">
        <v>832</v>
      </c>
      <c r="J2" s="9" t="s">
        <v>833</v>
      </c>
      <c r="K2" s="8" t="s">
        <v>828</v>
      </c>
      <c r="L2" s="8" t="s">
        <v>829</v>
      </c>
      <c r="M2" s="8" t="s">
        <v>832</v>
      </c>
      <c r="N2" s="9" t="s">
        <v>834</v>
      </c>
      <c r="O2" s="8" t="s">
        <v>828</v>
      </c>
      <c r="P2" s="8" t="s">
        <v>829</v>
      </c>
      <c r="Q2" s="8" t="s">
        <v>832</v>
      </c>
    </row>
    <row r="3" customFormat="false" ht="12.8" hidden="false" customHeight="false" outlineLevel="0" collapsed="false">
      <c r="A3" s="0" t="s">
        <v>835</v>
      </c>
      <c r="B3" s="0" t="s">
        <v>836</v>
      </c>
      <c r="C3" s="12" t="s">
        <v>837</v>
      </c>
      <c r="D3" s="12" t="s">
        <v>838</v>
      </c>
      <c r="E3" s="0" t="s">
        <v>839</v>
      </c>
      <c r="F3" s="7" t="n">
        <f aca="false">COUNTA(Simple!A:A)</f>
        <v>141</v>
      </c>
      <c r="G3" s="13" t="n">
        <f aca="true">COUNTIF(INDIRECT(G$1&amp;"."&amp;$A3&amp;"1:"&amp;$A3&amp;F3),"true")/F3</f>
        <v>0.73758865248227</v>
      </c>
      <c r="H3" s="14" t="n">
        <f aca="true">SUM(INDIRECT(G$1&amp;"."&amp;$B3&amp;"1:"&amp;$B3&amp;F3))/F3</f>
        <v>36.9694847801418</v>
      </c>
      <c r="I3" s="14" t="n">
        <f aca="true">SUMIF(INDIRECT(G$1&amp;"."&amp;$A3&amp;"1:"&amp;$A3&amp;F3),"true",INDIRECT(G$1&amp;"."&amp;$B3&amp;"1:"&amp;$B3&amp;F3))/COUNTIF(INDIRECT(G$1&amp;"."&amp;$A3&amp;"1:"&amp;$A3&amp;F3),"true")</f>
        <v>38.3929983557692</v>
      </c>
      <c r="J3" s="7" t="n">
        <f aca="false">COUNTA(Medium!B:B)</f>
        <v>137</v>
      </c>
      <c r="K3" s="13" t="n">
        <f aca="true">COUNTIF(INDIRECT(K$1&amp;"."&amp;$A3&amp;"1:"&amp;$A3&amp;J3),"true")/J3</f>
        <v>0.868613138686131</v>
      </c>
      <c r="L3" s="15" t="n">
        <f aca="true">SUM(INDIRECT(K$1&amp;"."&amp;$B3&amp;"1:"&amp;$B3&amp;J3))/J3</f>
        <v>33.441940890511</v>
      </c>
      <c r="M3" s="15" t="n">
        <f aca="true">SUMIF(INDIRECT(K$1&amp;"."&amp;$A3&amp;"1:"&amp;$A3&amp;J3),"true",INDIRECT(K$1&amp;"."&amp;$B3&amp;"1:"&amp;$B3&amp;J3))/COUNTIF(INDIRECT(K$1&amp;"."&amp;$A3&amp;"1:"&amp;$A3&amp;J3),"true")</f>
        <v>34.0767210672269</v>
      </c>
      <c r="N3" s="7" t="n">
        <f aca="false">COUNTA(Complex!C:C)</f>
        <v>126</v>
      </c>
      <c r="O3" s="13" t="n">
        <f aca="true">COUNTIF(INDIRECT(O$1&amp;"."&amp;$A3&amp;"1:"&amp;$A3&amp;N3),"true")/N3</f>
        <v>0.666666666666667</v>
      </c>
      <c r="P3" s="15" t="n">
        <f aca="true">SUM(INDIRECT(O$1&amp;"."&amp;$B3&amp;"1:"&amp;$B3&amp;N3))/N3</f>
        <v>70.2223002460317</v>
      </c>
      <c r="Q3" s="15" t="n">
        <f aca="true">SUMIF(INDIRECT(O$1&amp;"."&amp;$A3&amp;"1:"&amp;$A3&amp;N3),"true",INDIRECT(O$1&amp;"."&amp;$B3&amp;"1:"&amp;$B3&amp;N3))/COUNTIF(INDIRECT(O$1&amp;"."&amp;$A3&amp;"1:"&amp;$A3&amp;N3),"true")</f>
        <v>73.5616567976191</v>
      </c>
    </row>
    <row r="4" customFormat="false" ht="12.8" hidden="false" customHeight="false" outlineLevel="0" collapsed="false">
      <c r="A4" s="0" t="s">
        <v>840</v>
      </c>
      <c r="B4" s="0" t="s">
        <v>841</v>
      </c>
      <c r="C4" s="12" t="s">
        <v>842</v>
      </c>
      <c r="D4" s="12" t="s">
        <v>843</v>
      </c>
      <c r="E4" s="0" t="s">
        <v>844</v>
      </c>
      <c r="F4" s="7" t="n">
        <f aca="false">COUNTA(Simple!A:A)</f>
        <v>141</v>
      </c>
      <c r="G4" s="13" t="n">
        <f aca="true">COUNTIF(INDIRECT(G$1&amp;"."&amp;$A4&amp;"1:"&amp;$A4&amp;F4),"true")/F4</f>
        <v>0.730496453900709</v>
      </c>
      <c r="H4" s="14" t="n">
        <f aca="true">SUM(INDIRECT(G$1&amp;"."&amp;$B4&amp;"1:"&amp;$B4&amp;F4))/F4</f>
        <v>20.7603413120567</v>
      </c>
      <c r="I4" s="14" t="n">
        <f aca="true">SUMIF(INDIRECT(G$1&amp;"."&amp;$A4&amp;"1:"&amp;$A4&amp;F4),"true",INDIRECT(G$1&amp;"."&amp;$B4&amp;"1:"&amp;$B4&amp;F4))/COUNTIF(INDIRECT(G$1&amp;"."&amp;$A4&amp;"1:"&amp;$A4&amp;F4),"true")</f>
        <v>20.4815089029126</v>
      </c>
      <c r="J4" s="7" t="n">
        <f aca="false">COUNTA(Medium!B:B)</f>
        <v>137</v>
      </c>
      <c r="K4" s="13" t="n">
        <f aca="true">COUNTIF(INDIRECT(K$1&amp;"."&amp;$A4&amp;"1:"&amp;$A4&amp;J4),"true")/J4</f>
        <v>0.883211678832117</v>
      </c>
      <c r="L4" s="15" t="n">
        <f aca="true">SUM(INDIRECT(K$1&amp;"."&amp;$B4&amp;"1:"&amp;$B4&amp;J4))/J4</f>
        <v>19.3260916277372</v>
      </c>
      <c r="M4" s="15" t="n">
        <f aca="true">SUMIF(INDIRECT(K$1&amp;"."&amp;$A4&amp;"1:"&amp;$A4&amp;J4),"true",INDIRECT(K$1&amp;"."&amp;$B4&amp;"1:"&amp;$B4&amp;J4))/COUNTIF(INDIRECT(K$1&amp;"."&amp;$A4&amp;"1:"&amp;$A4&amp;J4),"true")</f>
        <v>19.1852134049587</v>
      </c>
      <c r="N4" s="7" t="n">
        <f aca="false">COUNTA(Complex!C:C)</f>
        <v>126</v>
      </c>
      <c r="O4" s="13" t="n">
        <f aca="true">COUNTIF(INDIRECT(O$1&amp;"."&amp;$A4&amp;"1:"&amp;$A4&amp;N4),"true")/N4</f>
        <v>0.579365079365079</v>
      </c>
      <c r="P4" s="15" t="n">
        <f aca="true">SUM(INDIRECT(O$1&amp;"."&amp;$B4&amp;"1:"&amp;$B4&amp;N4))/N4</f>
        <v>38.8551367301587</v>
      </c>
      <c r="Q4" s="15" t="n">
        <f aca="true">SUMIF(INDIRECT(O$1&amp;"."&amp;$A4&amp;"1:"&amp;$A4&amp;N4),"true",INDIRECT(O$1&amp;"."&amp;$B4&amp;"1:"&amp;$B4&amp;N4))/COUNTIF(INDIRECT(O$1&amp;"."&amp;$A4&amp;"1:"&amp;$A4&amp;N4),"true")</f>
        <v>40.9634164246575</v>
      </c>
    </row>
    <row r="5" customFormat="false" ht="12.8" hidden="false" customHeight="false" outlineLevel="0" collapsed="false">
      <c r="A5" s="0" t="s">
        <v>845</v>
      </c>
      <c r="B5" s="0" t="s">
        <v>846</v>
      </c>
      <c r="C5" s="12" t="s">
        <v>847</v>
      </c>
      <c r="D5" s="12" t="s">
        <v>848</v>
      </c>
      <c r="E5" s="0" t="s">
        <v>849</v>
      </c>
      <c r="F5" s="7" t="n">
        <f aca="false">COUNTA(Simple!A:A)</f>
        <v>141</v>
      </c>
      <c r="G5" s="13" t="n">
        <f aca="true">COUNTIF(INDIRECT(G$1&amp;"."&amp;$A5&amp;"1:"&amp;$A5&amp;F5),"true")/F5</f>
        <v>0.836879432624114</v>
      </c>
      <c r="H5" s="14" t="n">
        <f aca="true">SUM(INDIRECT(G$1&amp;"."&amp;$B5&amp;"1:"&amp;$B5&amp;F5))/F5</f>
        <v>13.7631928014184</v>
      </c>
      <c r="I5" s="14" t="n">
        <f aca="true">SUMIF(INDIRECT(G$1&amp;"."&amp;$A5&amp;"1:"&amp;$A5&amp;F5),"true",INDIRECT(G$1&amp;"."&amp;$B5&amp;"1:"&amp;$B5&amp;F5))/COUNTIF(INDIRECT(G$1&amp;"."&amp;$A5&amp;"1:"&amp;$A5&amp;F5),"true")</f>
        <v>13.2437836694915</v>
      </c>
      <c r="J5" s="7" t="n">
        <f aca="false">COUNTA(Medium!B:B)</f>
        <v>137</v>
      </c>
      <c r="K5" s="13" t="n">
        <f aca="true">COUNTIF(INDIRECT(K$1&amp;"."&amp;$A5&amp;"1:"&amp;$A5&amp;J5),"true")/J5</f>
        <v>0.948905109489051</v>
      </c>
      <c r="L5" s="15" t="n">
        <f aca="true">SUM(INDIRECT(K$1&amp;"."&amp;$B5&amp;"1:"&amp;$B5&amp;J5))/J5</f>
        <v>8.72943523357664</v>
      </c>
      <c r="M5" s="15" t="n">
        <f aca="true">SUMIF(INDIRECT(K$1&amp;"."&amp;$A5&amp;"1:"&amp;$A5&amp;J5),"true",INDIRECT(K$1&amp;"."&amp;$B5&amp;"1:"&amp;$B5&amp;J5))/COUNTIF(INDIRECT(K$1&amp;"."&amp;$A5&amp;"1:"&amp;$A5&amp;J5),"true")</f>
        <v>8.43880513076923</v>
      </c>
      <c r="N5" s="7" t="n">
        <f aca="false">COUNTA(Complex!C:C)</f>
        <v>126</v>
      </c>
      <c r="O5" s="13" t="n">
        <f aca="true">COUNTIF(INDIRECT(O$1&amp;"."&amp;$A5&amp;"1:"&amp;$A5&amp;N5),"true")/N5</f>
        <v>0.619047619047619</v>
      </c>
      <c r="P5" s="15" t="n">
        <f aca="true">SUM(INDIRECT(O$1&amp;"."&amp;$B5&amp;"1:"&amp;$B5&amp;N5))/N5</f>
        <v>23.6599303015873</v>
      </c>
      <c r="Q5" s="15" t="n">
        <f aca="true">SUMIF(INDIRECT(O$1&amp;"."&amp;$A5&amp;"1:"&amp;$A5&amp;N5),"true",INDIRECT(O$1&amp;"."&amp;$B5&amp;"1:"&amp;$B5&amp;N5))/COUNTIF(INDIRECT(O$1&amp;"."&amp;$A5&amp;"1:"&amp;$A5&amp;N5),"true")</f>
        <v>28.4703678589744</v>
      </c>
    </row>
    <row r="6" customFormat="false" ht="12.8" hidden="false" customHeight="false" outlineLevel="0" collapsed="false">
      <c r="A6" s="0" t="s">
        <v>850</v>
      </c>
      <c r="B6" s="0" t="s">
        <v>851</v>
      </c>
      <c r="C6" s="12" t="s">
        <v>852</v>
      </c>
      <c r="D6" s="12" t="s">
        <v>853</v>
      </c>
      <c r="E6" s="0" t="s">
        <v>854</v>
      </c>
      <c r="F6" s="7" t="n">
        <f aca="false">COUNTA(Simple!A:A)</f>
        <v>141</v>
      </c>
      <c r="G6" s="13" t="n">
        <f aca="true">COUNTIF(INDIRECT(G$1&amp;"."&amp;$A6&amp;"1:"&amp;$A6&amp;F6),"true")/F6</f>
        <v>0.524822695035461</v>
      </c>
      <c r="H6" s="14" t="n">
        <f aca="true">SUM(INDIRECT(G$1&amp;"."&amp;$B6&amp;"1:"&amp;$B6&amp;F6))/F6</f>
        <v>34.6658996737589</v>
      </c>
      <c r="I6" s="14" t="n">
        <f aca="true">SUMIF(INDIRECT(G$1&amp;"."&amp;$A6&amp;"1:"&amp;$A6&amp;F6),"true",INDIRECT(G$1&amp;"."&amp;$B6&amp;"1:"&amp;$B6&amp;F6))/COUNTIF(INDIRECT(G$1&amp;"."&amp;$A6&amp;"1:"&amp;$A6&amp;F6),"true")</f>
        <v>27.7748951216216</v>
      </c>
      <c r="J6" s="7" t="n">
        <f aca="false">COUNTA(Medium!B:B)</f>
        <v>137</v>
      </c>
      <c r="K6" s="13" t="n">
        <f aca="true">COUNTIF(INDIRECT(K$1&amp;"."&amp;$A6&amp;"1:"&amp;$A6&amp;J6),"true")/J6</f>
        <v>0.868613138686131</v>
      </c>
      <c r="L6" s="15" t="n">
        <f aca="true">SUM(INDIRECT(K$1&amp;"."&amp;$B6&amp;"1:"&amp;$B6&amp;J6))/J6</f>
        <v>27.6292406642336</v>
      </c>
      <c r="M6" s="15" t="n">
        <f aca="true">SUMIF(INDIRECT(K$1&amp;"."&amp;$A6&amp;"1:"&amp;$A6&amp;J6),"true",INDIRECT(K$1&amp;"."&amp;$B6&amp;"1:"&amp;$B6&amp;J6))/COUNTIF(INDIRECT(K$1&amp;"."&amp;$A6&amp;"1:"&amp;$A6&amp;J6),"true")</f>
        <v>27.1058310756303</v>
      </c>
      <c r="N6" s="7" t="n">
        <f aca="false">COUNTA(Complex!C:C)</f>
        <v>126</v>
      </c>
      <c r="O6" s="13" t="n">
        <f aca="true">COUNTIF(INDIRECT(O$1&amp;"."&amp;$A6&amp;"1:"&amp;$A6&amp;N6),"true")/N6</f>
        <v>0.650793650793651</v>
      </c>
      <c r="P6" s="15" t="n">
        <f aca="true">SUM(INDIRECT(O$1&amp;"."&amp;$B6&amp;"1:"&amp;$B6&amp;N6))/N6</f>
        <v>50.1914252460318</v>
      </c>
      <c r="Q6" s="15" t="n">
        <f aca="true">SUMIF(INDIRECT(O$1&amp;"."&amp;$A6&amp;"1:"&amp;$A6&amp;N6),"true",INDIRECT(O$1&amp;"."&amp;$B6&amp;"1:"&amp;$B6&amp;N6))/COUNTIF(INDIRECT(O$1&amp;"."&amp;$A6&amp;"1:"&amp;$A6&amp;N6),"true")</f>
        <v>43.5447085121951</v>
      </c>
    </row>
    <row r="7" customFormat="false" ht="12.8" hidden="false" customHeight="false" outlineLevel="0" collapsed="false">
      <c r="A7" s="0" t="s">
        <v>855</v>
      </c>
      <c r="B7" s="0" t="s">
        <v>856</v>
      </c>
      <c r="C7" s="12" t="s">
        <v>857</v>
      </c>
      <c r="D7" s="12" t="s">
        <v>858</v>
      </c>
      <c r="E7" s="0" t="s">
        <v>859</v>
      </c>
      <c r="F7" s="7" t="n">
        <f aca="false">COUNTA(Simple!A:A)</f>
        <v>141</v>
      </c>
      <c r="G7" s="13" t="n">
        <f aca="true">COUNTIF(INDIRECT(G$1&amp;"."&amp;$A7&amp;"1:"&amp;$A7&amp;F7),"true")/F7</f>
        <v>0.0638297872340426</v>
      </c>
      <c r="H7" s="14" t="n">
        <f aca="true">SUM(INDIRECT(G$1&amp;"."&amp;$B7&amp;"1:"&amp;$B7&amp;F7))/F7</f>
        <v>33.247490035461</v>
      </c>
      <c r="I7" s="14" t="n">
        <f aca="true">SUMIF(INDIRECT(G$1&amp;"."&amp;$A7&amp;"1:"&amp;$A7&amp;F7),"true",INDIRECT(G$1&amp;"."&amp;$B7&amp;"1:"&amp;$B7&amp;F7))/COUNTIF(INDIRECT(G$1&amp;"."&amp;$A7&amp;"1:"&amp;$A7&amp;F7),"true")</f>
        <v>31.3775626666667</v>
      </c>
      <c r="J7" s="7" t="n">
        <f aca="false">COUNTA(Medium!B:B)</f>
        <v>137</v>
      </c>
      <c r="K7" s="13" t="n">
        <f aca="true">COUNTIF(INDIRECT(K$1&amp;"."&amp;$A7&amp;"1:"&amp;$A7&amp;J7),"true")/J7</f>
        <v>0.153284671532847</v>
      </c>
      <c r="L7" s="15" t="n">
        <f aca="true">SUM(INDIRECT(K$1&amp;"."&amp;$B7&amp;"1:"&amp;$B7&amp;J7))/J7</f>
        <v>23.6298742773723</v>
      </c>
      <c r="M7" s="15" t="n">
        <f aca="true">SUMIF(INDIRECT(K$1&amp;"."&amp;$A7&amp;"1:"&amp;$A7&amp;J7),"true",INDIRECT(K$1&amp;"."&amp;$B7&amp;"1:"&amp;$B7&amp;J7))/COUNTIF(INDIRECT(K$1&amp;"."&amp;$A7&amp;"1:"&amp;$A7&amp;J7),"true")</f>
        <v>21.6900071428571</v>
      </c>
      <c r="N7" s="7" t="n">
        <f aca="false">COUNTA(Complex!C:C)</f>
        <v>126</v>
      </c>
      <c r="O7" s="13" t="n">
        <f aca="true">COUNTIF(INDIRECT(O$1&amp;"."&amp;$A7&amp;"1:"&amp;$A7&amp;N7),"true")/N7</f>
        <v>0.134920634920635</v>
      </c>
      <c r="P7" s="15" t="n">
        <f aca="true">SUM(INDIRECT(O$1&amp;"."&amp;$B7&amp;"1:"&amp;$B7&amp;N7))/N7</f>
        <v>16.1420073809524</v>
      </c>
      <c r="Q7" s="15" t="n">
        <f aca="true">SUMIF(INDIRECT(O$1&amp;"."&amp;$A7&amp;"1:"&amp;$A7&amp;N7),"true",INDIRECT(O$1&amp;"."&amp;$B7&amp;"1:"&amp;$B7&amp;N7))/COUNTIF(INDIRECT(O$1&amp;"."&amp;$A7&amp;"1:"&amp;$A7&amp;N7),"true")</f>
        <v>12.4276067058824</v>
      </c>
    </row>
    <row r="8" customFormat="false" ht="12.8" hidden="false" customHeight="false" outlineLevel="0" collapsed="false">
      <c r="G8" s="13"/>
      <c r="H8" s="15"/>
      <c r="I8" s="15"/>
      <c r="K8" s="13"/>
      <c r="L8" s="15"/>
      <c r="M8" s="15"/>
      <c r="O8" s="13"/>
      <c r="P8" s="15"/>
      <c r="Q8" s="15"/>
    </row>
    <row r="9" customFormat="false" ht="12.8" hidden="false" customHeight="false" outlineLevel="0" collapsed="false">
      <c r="A9" s="0" t="s">
        <v>860</v>
      </c>
      <c r="C9" s="0" t="s">
        <v>861</v>
      </c>
      <c r="F9" s="7" t="n">
        <f aca="false">COUNTA(Simple!A:A)</f>
        <v>141</v>
      </c>
      <c r="G9" s="13" t="n">
        <f aca="true">COUNTIF(INDIRECT(G$1&amp;"."&amp;$A9&amp;"1:"&amp;$A9&amp;F9),"true")/F9</f>
        <v>0.0212765957446809</v>
      </c>
      <c r="H9" s="15"/>
      <c r="I9" s="15"/>
      <c r="J9" s="7" t="n">
        <f aca="false">COUNTA(Medium!B:B)</f>
        <v>137</v>
      </c>
      <c r="K9" s="13" t="n">
        <f aca="true">COUNTIF(INDIRECT(K$1&amp;"."&amp;$A9&amp;"1:"&amp;$A9&amp;J9),"true")/J9</f>
        <v>0.0875912408759124</v>
      </c>
      <c r="L9" s="15"/>
      <c r="M9" s="15"/>
      <c r="N9" s="7" t="n">
        <f aca="false">COUNTA(Complex!C:C)</f>
        <v>126</v>
      </c>
      <c r="O9" s="13" t="n">
        <f aca="true">COUNTIF(INDIRECT(O$1&amp;"."&amp;$A9&amp;"1:"&amp;$A9&amp;N9),"true")/N9</f>
        <v>0.0238095238095238</v>
      </c>
      <c r="P9" s="15"/>
      <c r="Q9" s="15"/>
    </row>
    <row r="10" customFormat="false" ht="12.8" hidden="false" customHeight="false" outlineLevel="0" collapsed="false">
      <c r="G10" s="13"/>
      <c r="H10" s="15"/>
      <c r="I10" s="15"/>
      <c r="K10" s="13"/>
      <c r="L10" s="15"/>
      <c r="M10" s="15"/>
      <c r="O10" s="13"/>
      <c r="P10" s="15"/>
      <c r="Q10" s="15"/>
    </row>
    <row r="11" customFormat="false" ht="12.8" hidden="false" customHeight="false" outlineLevel="0" collapsed="false">
      <c r="A11" s="0" t="s">
        <v>862</v>
      </c>
      <c r="B11" s="0" t="s">
        <v>863</v>
      </c>
      <c r="C11" s="12" t="s">
        <v>837</v>
      </c>
      <c r="D11" s="12" t="s">
        <v>838</v>
      </c>
      <c r="E11" s="0" t="s">
        <v>864</v>
      </c>
      <c r="F11" s="7" t="n">
        <f aca="false">COUNTA(Simple!A:A)</f>
        <v>141</v>
      </c>
      <c r="G11" s="13" t="n">
        <f aca="true">COUNTIF(INDIRECT(G$1&amp;"."&amp;$A11&amp;"1:"&amp;$A11&amp;F11),"true")/F11</f>
        <v>0.595744680851064</v>
      </c>
      <c r="H11" s="15" t="n">
        <f aca="true">SUM(INDIRECT(G$1&amp;"."&amp;$B11&amp;"1:"&amp;$B11&amp;F11))/F11</f>
        <v>42.6164598510638</v>
      </c>
      <c r="I11" s="15" t="n">
        <f aca="true">SUMIF(INDIRECT(G$1&amp;"."&amp;$A11&amp;"1:"&amp;$A11&amp;F11),"true",INDIRECT(G$1&amp;"."&amp;$B11&amp;"1:"&amp;$B11&amp;F11))/COUNTIF(INDIRECT(G$1&amp;"."&amp;$A11&amp;"1:"&amp;$A11&amp;F11),"true")</f>
        <v>45.6930138928571</v>
      </c>
      <c r="J11" s="7" t="n">
        <f aca="false">COUNTA(Medium!B:B)</f>
        <v>137</v>
      </c>
      <c r="K11" s="13" t="n">
        <f aca="true">COUNTIF(INDIRECT(K$1&amp;"."&amp;$A11&amp;"1:"&amp;$A11&amp;J11),"true")/J11</f>
        <v>0.715328467153285</v>
      </c>
      <c r="L11" s="15" t="n">
        <f aca="true">SUM(INDIRECT(K$1&amp;"."&amp;$B11&amp;"1:"&amp;$B11&amp;J11))/J11</f>
        <v>34.4970451824818</v>
      </c>
      <c r="M11" s="15" t="n">
        <f aca="true">SUMIF(INDIRECT(K$1&amp;"."&amp;$A11&amp;"1:"&amp;$A11&amp;J11),"true",INDIRECT(K$1&amp;"."&amp;$B11&amp;"1:"&amp;$B11&amp;J11))/COUNTIF(INDIRECT(K$1&amp;"."&amp;$A11&amp;"1:"&amp;$A11&amp;J11),"true")</f>
        <v>34.3078588061225</v>
      </c>
      <c r="N11" s="7" t="n">
        <f aca="false">COUNTA(Complex!C:C)</f>
        <v>126</v>
      </c>
      <c r="O11" s="13" t="n">
        <f aca="true">COUNTIF(INDIRECT(O$1&amp;"."&amp;$A11&amp;"1:"&amp;$A11&amp;N11),"true")/N11</f>
        <v>0.706349206349206</v>
      </c>
      <c r="P11" s="14" t="n">
        <f aca="true">SUM(INDIRECT(O$1&amp;"."&amp;$B11&amp;"1:"&amp;$B11&amp;N11))/N11</f>
        <v>49.8270270476191</v>
      </c>
      <c r="Q11" s="14" t="n">
        <f aca="true">SUMIF(INDIRECT(O$1&amp;"."&amp;$A11&amp;"1:"&amp;$A11&amp;N11),"true",INDIRECT(O$1&amp;"."&amp;$B11&amp;"1:"&amp;$B11&amp;N11))/COUNTIF(INDIRECT(O$1&amp;"."&amp;$A11&amp;"1:"&amp;$A11&amp;N11),"true")</f>
        <v>53.6072381235955</v>
      </c>
    </row>
    <row r="12" customFormat="false" ht="12.8" hidden="false" customHeight="false" outlineLevel="0" collapsed="false">
      <c r="A12" s="0" t="s">
        <v>865</v>
      </c>
      <c r="B12" s="0" t="s">
        <v>866</v>
      </c>
      <c r="C12" s="12" t="s">
        <v>842</v>
      </c>
      <c r="D12" s="12" t="s">
        <v>843</v>
      </c>
      <c r="E12" s="0" t="s">
        <v>867</v>
      </c>
      <c r="F12" s="7" t="n">
        <f aca="false">COUNTA(Simple!A:A)</f>
        <v>141</v>
      </c>
      <c r="G12" s="13" t="n">
        <f aca="true">COUNTIF(INDIRECT(G$1&amp;"."&amp;$A12&amp;"1:"&amp;$A12&amp;F12),"true")/F12</f>
        <v>0.48936170212766</v>
      </c>
      <c r="H12" s="15" t="n">
        <f aca="true">SUM(INDIRECT(G$1&amp;"."&amp;$B12&amp;"1:"&amp;$B12&amp;F12))/F12</f>
        <v>24.3437475531915</v>
      </c>
      <c r="I12" s="15" t="n">
        <f aca="true">SUMIF(INDIRECT(G$1&amp;"."&amp;$A12&amp;"1:"&amp;$A12&amp;F12),"true",INDIRECT(G$1&amp;"."&amp;$B12&amp;"1:"&amp;$B12&amp;F12))/COUNTIF(INDIRECT(G$1&amp;"."&amp;$A12&amp;"1:"&amp;$A12&amp;F12),"true")</f>
        <v>25.0729080724638</v>
      </c>
      <c r="J12" s="7" t="n">
        <f aca="false">COUNTA(Medium!B:B)</f>
        <v>137</v>
      </c>
      <c r="K12" s="13" t="n">
        <f aca="true">COUNTIF(INDIRECT(K$1&amp;"."&amp;$A12&amp;"1:"&amp;$A12&amp;J12),"true")/J12</f>
        <v>0.510948905109489</v>
      </c>
      <c r="L12" s="15" t="n">
        <f aca="true">SUM(INDIRECT(K$1&amp;"."&amp;$B12&amp;"1:"&amp;$B12&amp;J12))/J12</f>
        <v>19.1659077518248</v>
      </c>
      <c r="M12" s="15" t="n">
        <f aca="true">SUMIF(INDIRECT(K$1&amp;"."&amp;$A12&amp;"1:"&amp;$A12&amp;J12),"true",INDIRECT(K$1&amp;"."&amp;$B12&amp;"1:"&amp;$B12&amp;J12))/COUNTIF(INDIRECT(K$1&amp;"."&amp;$A12&amp;"1:"&amp;$A12&amp;J12),"true")</f>
        <v>21.3736672285714</v>
      </c>
      <c r="N12" s="7" t="n">
        <f aca="false">COUNTA(Complex!C:C)</f>
        <v>126</v>
      </c>
      <c r="O12" s="13" t="n">
        <f aca="true">COUNTIF(INDIRECT(O$1&amp;"."&amp;$A12&amp;"1:"&amp;$A12&amp;N12),"true")/N12</f>
        <v>0.325396825396825</v>
      </c>
      <c r="P12" s="14" t="n">
        <f aca="true">SUM(INDIRECT(O$1&amp;"."&amp;$B12&amp;"1:"&amp;$B12&amp;N12))/N12</f>
        <v>27.4684871904762</v>
      </c>
      <c r="Q12" s="14" t="n">
        <f aca="true">SUMIF(INDIRECT(O$1&amp;"."&amp;$A12&amp;"1:"&amp;$A12&amp;N12),"true",INDIRECT(O$1&amp;"."&amp;$B12&amp;"1:"&amp;$B12&amp;N12))/COUNTIF(INDIRECT(O$1&amp;"."&amp;$A12&amp;"1:"&amp;$A12&amp;N12),"true")</f>
        <v>33.8768412195122</v>
      </c>
    </row>
    <row r="13" customFormat="false" ht="12.8" hidden="false" customHeight="false" outlineLevel="0" collapsed="false">
      <c r="A13" s="0" t="s">
        <v>868</v>
      </c>
      <c r="B13" s="0" t="s">
        <v>869</v>
      </c>
      <c r="C13" s="12" t="s">
        <v>847</v>
      </c>
      <c r="D13" s="12" t="s">
        <v>848</v>
      </c>
      <c r="E13" s="0" t="s">
        <v>870</v>
      </c>
      <c r="F13" s="7" t="n">
        <f aca="false">COUNTA(Simple!A:A)</f>
        <v>141</v>
      </c>
      <c r="G13" s="13" t="n">
        <f aca="true">COUNTIF(INDIRECT(G$1&amp;"."&amp;$A13&amp;"1:"&amp;$A13&amp;F13),"true")/F13</f>
        <v>0.432624113475177</v>
      </c>
      <c r="H13" s="15" t="n">
        <f aca="true">SUM(INDIRECT(G$1&amp;"."&amp;$B13&amp;"1:"&amp;$B13&amp;F13))/F13</f>
        <v>12.979163929078</v>
      </c>
      <c r="I13" s="15" t="n">
        <f aca="true">SUMIF(INDIRECT(G$1&amp;"."&amp;$A13&amp;"1:"&amp;$A13&amp;F13),"true",INDIRECT(G$1&amp;"."&amp;$B13&amp;"1:"&amp;$B13&amp;F13))/COUNTIF(INDIRECT(G$1&amp;"."&amp;$A13&amp;"1:"&amp;$A13&amp;F13),"true")</f>
        <v>15.0375877213115</v>
      </c>
      <c r="J13" s="7" t="n">
        <f aca="false">COUNTA(Medium!B:B)</f>
        <v>137</v>
      </c>
      <c r="K13" s="13" t="n">
        <f aca="true">COUNTIF(INDIRECT(K$1&amp;"."&amp;$A13&amp;"1:"&amp;$A13&amp;J13),"true")/J13</f>
        <v>0.605839416058394</v>
      </c>
      <c r="L13" s="15" t="n">
        <f aca="true">SUM(INDIRECT(K$1&amp;"."&amp;$B13&amp;"1:"&amp;$B13&amp;J13))/J13</f>
        <v>9.4903036350365</v>
      </c>
      <c r="M13" s="15" t="n">
        <f aca="true">SUMIF(INDIRECT(K$1&amp;"."&amp;$A13&amp;"1:"&amp;$A13&amp;J13),"true",INDIRECT(K$1&amp;"."&amp;$B13&amp;"1:"&amp;$B13&amp;J13))/COUNTIF(INDIRECT(K$1&amp;"."&amp;$A13&amp;"1:"&amp;$A13&amp;J13),"true")</f>
        <v>9.06723009638554</v>
      </c>
      <c r="N13" s="7" t="n">
        <f aca="false">COUNTA(Complex!C:C)</f>
        <v>126</v>
      </c>
      <c r="O13" s="13" t="n">
        <f aca="true">COUNTIF(INDIRECT(O$1&amp;"."&amp;$A13&amp;"1:"&amp;$A13&amp;N13),"true")/N13</f>
        <v>0.357142857142857</v>
      </c>
      <c r="P13" s="14" t="n">
        <f aca="true">SUM(INDIRECT(O$1&amp;"."&amp;$B13&amp;"1:"&amp;$B13&amp;N13))/N13</f>
        <v>19.1770533888889</v>
      </c>
      <c r="Q13" s="14" t="n">
        <f aca="true">SUMIF(INDIRECT(O$1&amp;"."&amp;$A13&amp;"1:"&amp;$A13&amp;N13),"true",INDIRECT(O$1&amp;"."&amp;$B13&amp;"1:"&amp;$B13&amp;N13))/COUNTIF(INDIRECT(O$1&amp;"."&amp;$A13&amp;"1:"&amp;$A13&amp;N13),"true")</f>
        <v>22.0410349333333</v>
      </c>
    </row>
    <row r="14" customFormat="false" ht="12.8" hidden="false" customHeight="false" outlineLevel="0" collapsed="false">
      <c r="A14" s="0" t="s">
        <v>871</v>
      </c>
      <c r="B14" s="0" t="s">
        <v>872</v>
      </c>
      <c r="C14" s="12" t="s">
        <v>852</v>
      </c>
      <c r="D14" s="12" t="s">
        <v>853</v>
      </c>
      <c r="E14" s="0" t="s">
        <v>873</v>
      </c>
      <c r="F14" s="7" t="n">
        <f aca="false">COUNTA(Simple!A:A)</f>
        <v>141</v>
      </c>
      <c r="G14" s="13" t="n">
        <f aca="true">COUNTIF(INDIRECT(G$1&amp;"."&amp;$A14&amp;"1:"&amp;$A14&amp;F14),"true")/F14</f>
        <v>0.404255319148936</v>
      </c>
      <c r="H14" s="15" t="n">
        <f aca="true">SUM(INDIRECT(G$1&amp;"."&amp;$B14&amp;"1:"&amp;$B14&amp;F14))/F14</f>
        <v>31.2142795177305</v>
      </c>
      <c r="I14" s="15" t="n">
        <f aca="true">SUMIF(INDIRECT(G$1&amp;"."&amp;$A14&amp;"1:"&amp;$A14&amp;F14),"true",INDIRECT(G$1&amp;"."&amp;$B14&amp;"1:"&amp;$B14&amp;F14))/COUNTIF(INDIRECT(G$1&amp;"."&amp;$A14&amp;"1:"&amp;$A14&amp;F14),"true")</f>
        <v>30.2877003157895</v>
      </c>
      <c r="J14" s="7" t="n">
        <f aca="false">COUNTA(Medium!B:B)</f>
        <v>137</v>
      </c>
      <c r="K14" s="13" t="n">
        <f aca="true">COUNTIF(INDIRECT(K$1&amp;"."&amp;$A14&amp;"1:"&amp;$A14&amp;J14),"true")/J14</f>
        <v>0.613138686131387</v>
      </c>
      <c r="L14" s="15" t="n">
        <f aca="true">SUM(INDIRECT(K$1&amp;"."&amp;$B14&amp;"1:"&amp;$B14&amp;J14))/J14</f>
        <v>25.4757005620438</v>
      </c>
      <c r="M14" s="15" t="n">
        <f aca="true">SUMIF(INDIRECT(K$1&amp;"."&amp;$A14&amp;"1:"&amp;$A14&amp;J14),"true",INDIRECT(K$1&amp;"."&amp;$B14&amp;"1:"&amp;$B14&amp;J14))/COUNTIF(INDIRECT(K$1&amp;"."&amp;$A14&amp;"1:"&amp;$A14&amp;J14),"true")</f>
        <v>29.259723297619</v>
      </c>
      <c r="N14" s="7" t="n">
        <f aca="false">COUNTA(Complex!C:C)</f>
        <v>126</v>
      </c>
      <c r="O14" s="16" t="n">
        <f aca="true">COUNTIF(INDIRECT(O$1&amp;"."&amp;$A14&amp;"1:"&amp;$A14&amp;N14),"true")/N14</f>
        <v>0.595238095238095</v>
      </c>
      <c r="P14" s="14" t="n">
        <f aca="true">SUM(INDIRECT(O$1&amp;"."&amp;$B14&amp;"1:"&amp;$B14&amp;N14))/N14</f>
        <v>30.8014482698413</v>
      </c>
      <c r="Q14" s="14" t="n">
        <f aca="true">SUMIF(INDIRECT(O$1&amp;"."&amp;$A14&amp;"1:"&amp;$A14&amp;N14),"true",INDIRECT(O$1&amp;"."&amp;$B14&amp;"1:"&amp;$B14&amp;N14))/COUNTIF(INDIRECT(O$1&amp;"."&amp;$A14&amp;"1:"&amp;$A14&amp;N14),"true")</f>
        <v>38.3109299866667</v>
      </c>
    </row>
    <row r="15" customFormat="false" ht="12.8" hidden="false" customHeight="false" outlineLevel="0" collapsed="false">
      <c r="A15" s="0" t="s">
        <v>874</v>
      </c>
      <c r="B15" s="0" t="s">
        <v>875</v>
      </c>
      <c r="C15" s="12" t="s">
        <v>857</v>
      </c>
      <c r="D15" s="12" t="s">
        <v>858</v>
      </c>
      <c r="E15" s="0" t="s">
        <v>876</v>
      </c>
      <c r="F15" s="7" t="n">
        <f aca="false">COUNTA(Simple!A:A)</f>
        <v>141</v>
      </c>
      <c r="G15" s="16" t="n">
        <f aca="true">COUNTIF(INDIRECT(G$1&amp;"."&amp;$A15&amp;"1:"&amp;$A15&amp;F15),"true")/F15</f>
        <v>0.638297872340426</v>
      </c>
      <c r="H15" s="15" t="n">
        <f aca="true">SUM(INDIRECT(G$1&amp;"."&amp;$B15&amp;"1:"&amp;$B15&amp;F15))/F15</f>
        <v>19.7733436950355</v>
      </c>
      <c r="I15" s="15" t="n">
        <f aca="true">SUMIF(INDIRECT(G$1&amp;"."&amp;$A15&amp;"1:"&amp;$A15&amp;F15),"true",INDIRECT(G$1&amp;"."&amp;$B15&amp;"1:"&amp;$B15&amp;F15))/COUNTIF(INDIRECT(G$1&amp;"."&amp;$A15&amp;"1:"&amp;$A15&amp;F15),"true")</f>
        <v>16.7187210444444</v>
      </c>
      <c r="J15" s="7" t="n">
        <f aca="false">COUNTA(Medium!B:B)</f>
        <v>137</v>
      </c>
      <c r="K15" s="16" t="n">
        <f aca="true">COUNTIF(INDIRECT(K$1&amp;"."&amp;$A15&amp;"1:"&amp;$A15&amp;J15),"true")/J15</f>
        <v>0.467153284671533</v>
      </c>
      <c r="L15" s="15" t="n">
        <f aca="true">SUM(INDIRECT(K$1&amp;"."&amp;$B15&amp;"1:"&amp;$B15&amp;J15))/J15</f>
        <v>17.8044087153285</v>
      </c>
      <c r="M15" s="15" t="n">
        <f aca="true">SUMIF(INDIRECT(K$1&amp;"."&amp;$A15&amp;"1:"&amp;$A15&amp;J15),"true",INDIRECT(K$1&amp;"."&amp;$B15&amp;"1:"&amp;$B15&amp;J15))/COUNTIF(INDIRECT(K$1&amp;"."&amp;$A15&amp;"1:"&amp;$A15&amp;J15),"true")</f>
        <v>19.188819109375</v>
      </c>
      <c r="N15" s="7" t="n">
        <f aca="false">COUNTA(Complex!C:C)</f>
        <v>126</v>
      </c>
      <c r="O15" s="16" t="n">
        <f aca="true">COUNTIF(INDIRECT(O$1&amp;"."&amp;$A15&amp;"1:"&amp;$A15&amp;N15),"true")/N15</f>
        <v>0.357142857142857</v>
      </c>
      <c r="P15" s="15" t="n">
        <f aca="true">SUM(INDIRECT(O$1&amp;"."&amp;$B15&amp;"1:"&amp;$B15&amp;N15))/N15</f>
        <v>13.239022452381</v>
      </c>
      <c r="Q15" s="15" t="n">
        <f aca="true">SUMIF(INDIRECT(O$1&amp;"."&amp;$A15&amp;"1:"&amp;$A15&amp;N15),"true",INDIRECT(O$1&amp;"."&amp;$B15&amp;"1:"&amp;$B15&amp;N15))/COUNTIF(INDIRECT(O$1&amp;"."&amp;$A15&amp;"1:"&amp;$A15&amp;N15),"true")</f>
        <v>18.1699323333333</v>
      </c>
    </row>
    <row r="17" customFormat="false" ht="12.8" hidden="false" customHeight="false" outlineLevel="0" collapsed="false">
      <c r="A17" s="0" t="s">
        <v>877</v>
      </c>
      <c r="C17" s="0" t="s">
        <v>861</v>
      </c>
      <c r="F17" s="7" t="n">
        <f aca="false">COUNTA(Simple!A:A)</f>
        <v>141</v>
      </c>
      <c r="G17" s="13" t="n">
        <f aca="true">COUNTIF(INDIRECT(G$1&amp;"."&amp;$A17&amp;"1:"&amp;$A17&amp;F17),"true")/F17</f>
        <v>0.0921985815602837</v>
      </c>
      <c r="J17" s="7" t="n">
        <f aca="false">COUNTA(Medium!B:B)</f>
        <v>137</v>
      </c>
      <c r="K17" s="13" t="n">
        <f aca="true">COUNTIF(INDIRECT(K$1&amp;"."&amp;$A17&amp;"1:"&amp;$A17&amp;J17),"true")/J17</f>
        <v>0.248175182481752</v>
      </c>
      <c r="N17" s="7" t="n">
        <f aca="false">COUNTA(Complex!C:C)</f>
        <v>126</v>
      </c>
      <c r="O17" s="13" t="n">
        <f aca="true">COUNTIF(INDIRECT(O$1&amp;"."&amp;$A17&amp;"1:"&amp;$A17&amp;N17),"true")/N17</f>
        <v>0.0714285714285714</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F3" activeCellId="0" sqref="F3"/>
    </sheetView>
  </sheetViews>
  <sheetFormatPr defaultColWidth="11.53515625" defaultRowHeight="12.8" customHeight="true" zeroHeight="false" outlineLevelRow="0" outlineLevelCol="0"/>
  <cols>
    <col collapsed="false" customWidth="true" hidden="false" outlineLevel="0" max="1" min="1" style="0" width="8.84"/>
    <col collapsed="false" customWidth="true" hidden="false" outlineLevel="0" max="3" min="2" style="0" width="9.63"/>
    <col collapsed="false" customWidth="true" hidden="false" outlineLevel="0" max="4" min="4" style="0" width="8.54"/>
    <col collapsed="false" customWidth="true" hidden="false" outlineLevel="0" max="5" min="5" style="7" width="6.66"/>
    <col collapsed="false" customWidth="true" hidden="false" outlineLevel="0" max="6" min="6" style="0" width="7.68"/>
    <col collapsed="false" customWidth="true" hidden="false" outlineLevel="0" max="7" min="7" style="0" width="6.68"/>
    <col collapsed="false" customWidth="true" hidden="false" outlineLevel="0" max="8" min="8" style="7" width="4.56"/>
    <col collapsed="false" customWidth="true" hidden="false" outlineLevel="0" max="9" min="9" style="0" width="8.67"/>
    <col collapsed="false" customWidth="true" hidden="false" outlineLevel="0" max="10" min="10" style="0" width="6.68"/>
    <col collapsed="false" customWidth="true" hidden="false" outlineLevel="0" max="11" min="11" style="7" width="4.56"/>
  </cols>
  <sheetData>
    <row r="1" customFormat="false" ht="12.8" hidden="false" customHeight="false" outlineLevel="0" collapsed="false">
      <c r="E1" s="0"/>
      <c r="F1" s="11" t="s">
        <v>825</v>
      </c>
      <c r="H1" s="9"/>
      <c r="I1" s="11" t="s">
        <v>826</v>
      </c>
      <c r="J1" s="11"/>
      <c r="L1" s="11" t="s">
        <v>827</v>
      </c>
    </row>
    <row r="2" customFormat="false" ht="12.8" hidden="false" customHeight="false" outlineLevel="0" collapsed="false">
      <c r="C2" s="10" t="s">
        <v>1</v>
      </c>
      <c r="D2" s="10" t="s">
        <v>10</v>
      </c>
      <c r="E2" s="9" t="s">
        <v>831</v>
      </c>
      <c r="F2" s="8" t="s">
        <v>1</v>
      </c>
      <c r="G2" s="8" t="s">
        <v>10</v>
      </c>
      <c r="H2" s="9" t="s">
        <v>833</v>
      </c>
      <c r="I2" s="8" t="s">
        <v>1</v>
      </c>
      <c r="J2" s="8" t="s">
        <v>10</v>
      </c>
      <c r="K2" s="9" t="s">
        <v>834</v>
      </c>
      <c r="L2" s="8" t="s">
        <v>1</v>
      </c>
      <c r="M2" s="8" t="s">
        <v>10</v>
      </c>
    </row>
    <row r="3" customFormat="false" ht="12.8" hidden="false" customHeight="false" outlineLevel="0" collapsed="false">
      <c r="A3" s="12" t="s">
        <v>878</v>
      </c>
      <c r="B3" s="17" t="s">
        <v>879</v>
      </c>
      <c r="C3" s="0" t="s">
        <v>880</v>
      </c>
      <c r="D3" s="0" t="s">
        <v>881</v>
      </c>
      <c r="E3" s="7" t="n">
        <f aca="false">COUNTA(Medium!A:A)</f>
        <v>137</v>
      </c>
      <c r="F3" s="18" t="n">
        <f aca="true">SUM(INDIRECT($F$1&amp;"."&amp;C3&amp;"1:"&amp;C3&amp;$E3))/$E3</f>
        <v>0.693430656934307</v>
      </c>
      <c r="G3" s="18" t="n">
        <f aca="true">SUM(INDIRECT($F$1&amp;"."&amp;D3&amp;"1:"&amp;D3&amp;$E3))/$E3</f>
        <v>0.27007299270073</v>
      </c>
      <c r="H3" s="7" t="n">
        <v>137</v>
      </c>
      <c r="I3" s="18" t="n">
        <f aca="true">SUM(INDIRECT($I$1&amp;"."&amp;C3&amp;"1:"&amp;C3&amp;$H3))/$H3</f>
        <v>0.452554744525547</v>
      </c>
      <c r="J3" s="18" t="n">
        <f aca="true">SUM(INDIRECT($I$1&amp;"."&amp;D3&amp;"1:"&amp;D3&amp;$H3))/$H3</f>
        <v>0.321167883211679</v>
      </c>
      <c r="K3" s="7" t="n">
        <v>126</v>
      </c>
      <c r="L3" s="18" t="n">
        <f aca="true">SUM(INDIRECT($L$1&amp;"."&amp;C3&amp;"1:"&amp;C3&amp;$K3))/$K3</f>
        <v>-0.253968253968254</v>
      </c>
      <c r="M3" s="18" t="n">
        <f aca="true">SUM(INDIRECT($L$1&amp;"."&amp;D3&amp;"1:"&amp;D3&amp;$K3))/$K3</f>
        <v>0.603174603174603</v>
      </c>
    </row>
    <row r="4" customFormat="false" ht="12.8" hidden="false" customHeight="false" outlineLevel="0" collapsed="false">
      <c r="A4" s="12" t="s">
        <v>878</v>
      </c>
      <c r="B4" s="0" t="s">
        <v>828</v>
      </c>
      <c r="E4" s="7" t="n">
        <f aca="false">COUNTA(Medium!A:A)</f>
        <v>137</v>
      </c>
      <c r="H4" s="7" t="n">
        <v>138</v>
      </c>
      <c r="K4" s="7" t="n">
        <v>127</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758</TotalTime>
  <Application>LibreOffice/25.8.2.2$Linux_X86_64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2025-11-12T15:00:34Z</dcterms:modified>
  <cp:revision>32</cp:revision>
  <dc:subject/>
  <dc:title/>
</cp:coreProperties>
</file>